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シミュレーション" sheetId="1" state="visible" r:id="rId1"/>
    <sheet name="シナリオ比較" sheetId="2" state="visible" r:id="rId2"/>
    <sheet name="モンテカルロ" sheetId="3" state="visible" r:id="rId3"/>
    <sheet name="実績データ" sheetId="4" state="visible" r:id="rId4"/>
    <sheet name="前提・根拠" sheetId="5" state="visible" r:id="rId5"/>
  </sheets>
  <definedNames/>
  <calcPr calcId="124519" fullCalcOnLoad="1"/>
</workbook>
</file>

<file path=xl/styles.xml><?xml version="1.0" encoding="utf-8"?>
<styleSheet xmlns="http://schemas.openxmlformats.org/spreadsheetml/2006/main">
  <numFmts count="6">
    <numFmt numFmtId="164" formatCode="0.000%"/>
    <numFmt numFmtId="165" formatCode="¥#,##0"/>
    <numFmt numFmtId="166" formatCode="0.00&quot;倍&quot;"/>
    <numFmt numFmtId="167" formatCode="yyyy-mm-dd h:mm:ss"/>
    <numFmt numFmtId="168" formatCode="yyyy/mm"/>
    <numFmt numFmtId="169" formatCode="0.0"/>
  </numFmts>
  <fonts count="6">
    <font>
      <name val="Calibri"/>
      <family val="2"/>
      <color theme="1"/>
      <sz val="11"/>
      <scheme val="minor"/>
    </font>
    <font>
      <b val="1"/>
      <color rgb="001F3864"/>
      <sz val="14"/>
    </font>
    <font>
      <b val="1"/>
    </font>
    <font>
      <color rgb="00666666"/>
      <sz val="9"/>
    </font>
    <font>
      <b val="1"/>
      <color rgb="00FFFFFF"/>
    </font>
    <font>
      <color rgb="00C00000"/>
    </font>
  </fonts>
  <fills count="5">
    <fill>
      <patternFill/>
    </fill>
    <fill>
      <patternFill patternType="gray125"/>
    </fill>
    <fill>
      <patternFill patternType="solid">
        <fgColor rgb="00DCE6F1"/>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3" fillId="0" borderId="0" pivotButton="0" quotePrefix="0" xfId="0"/>
    <xf numFmtId="0" fontId="2" fillId="0" borderId="0" pivotButton="0" quotePrefix="0" xfId="0"/>
    <xf numFmtId="0" fontId="0" fillId="2" borderId="1" pivotButton="0" quotePrefix="0" xfId="0"/>
    <xf numFmtId="10" fontId="0" fillId="0" borderId="0" pivotButton="0" quotePrefix="0" xfId="0"/>
    <xf numFmtId="165" fontId="0" fillId="0" borderId="0" pivotButton="0" quotePrefix="0" xfId="0"/>
    <xf numFmtId="164" fontId="0" fillId="0" borderId="0" pivotButton="0" quotePrefix="0" xfId="0"/>
    <xf numFmtId="0" fontId="4" fillId="3" borderId="1" applyAlignment="1" pivotButton="0" quotePrefix="0" xfId="0">
      <alignment horizontal="center" vertical="center" wrapText="1"/>
    </xf>
    <xf numFmtId="168" fontId="4" fillId="3" borderId="1" applyAlignment="1" pivotButton="0" quotePrefix="0" xfId="0">
      <alignment horizontal="center" vertical="center" wrapText="1"/>
    </xf>
    <xf numFmtId="0" fontId="2" fillId="0" borderId="1" pivotButton="0" quotePrefix="0" xfId="0"/>
    <xf numFmtId="3" fontId="0" fillId="4" borderId="1" pivotButton="0" quotePrefix="0" xfId="0"/>
    <xf numFmtId="3" fontId="0" fillId="0" borderId="1" pivotButton="0" quotePrefix="0" xfId="0"/>
    <xf numFmtId="169" fontId="0" fillId="0" borderId="1" pivotButton="0" quotePrefix="0" xfId="0"/>
    <xf numFmtId="169" fontId="2" fillId="0" borderId="1" pivotButton="0" quotePrefix="0" xfId="0"/>
    <xf numFmtId="165" fontId="0" fillId="4" borderId="1" pivotButton="0" quotePrefix="0" xfId="0"/>
    <xf numFmtId="165" fontId="0" fillId="0" borderId="1" pivotButton="0" quotePrefix="0" xfId="0"/>
    <xf numFmtId="165" fontId="2" fillId="0" borderId="1" pivotButton="0" quotePrefix="0" xfId="0"/>
    <xf numFmtId="164" fontId="0" fillId="4" borderId="1" pivotButton="0" quotePrefix="0" xfId="0"/>
    <xf numFmtId="164" fontId="0" fillId="0" borderId="1" pivotButton="0" quotePrefix="0" xfId="0"/>
    <xf numFmtId="0" fontId="2" fillId="2" borderId="0" pivotButton="0" quotePrefix="0" xfId="0"/>
    <xf numFmtId="0" fontId="0" fillId="2" borderId="0" pivotButton="0" quotePrefix="0" xfId="0"/>
    <xf numFmtId="165" fontId="5" fillId="0" borderId="1" pivotButton="0" quotePrefix="0" xfId="0"/>
    <xf numFmtId="9" fontId="0" fillId="0" borderId="1" pivotButton="0" quotePrefix="0" xfId="0"/>
    <xf numFmtId="168" fontId="0" fillId="0" borderId="1" pivotButton="0" quotePrefix="0" xfId="0"/>
    <xf numFmtId="10" fontId="0" fillId="0" borderId="1" pivotButton="0" quotePrefix="0" xfId="0"/>
    <xf numFmtId="3" fontId="2" fillId="0" borderId="1" pivotButton="0" quotePrefix="0" xfId="0"/>
    <xf numFmtId="164" fontId="2" fillId="0" borderId="1" pivotButton="0" quotePrefix="0" xfId="0"/>
    <xf numFmtId="10" fontId="2" fillId="0" borderId="1" pivotButton="0" quotePrefix="0" xfId="0"/>
    <xf numFmtId="164" fontId="2" fillId="0" borderId="0" pivotButton="0" quotePrefix="0" xfId="0"/>
    <xf numFmtId="165" fontId="2" fillId="0" borderId="0" pivotButton="0" quotePrefix="0" xfId="0"/>
    <xf numFmtId="10" fontId="2" fillId="0" borderId="0" pivotButton="0" quotePrefix="0" xfId="0"/>
    <xf numFmtId="166" fontId="2" fillId="0" borderId="0"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2"/>
  <chart>
    <title>
      <tx>
        <rich>
          <a:bodyPr/>
          <a:p>
            <a:pPr>
              <a:defRPr/>
            </a:pPr>
            <a:r>
              <a:t>粗利とSEO費用の推移（実績+予測）</a:t>
            </a:r>
          </a:p>
        </rich>
      </tx>
    </title>
    <plotArea>
      <lineChart>
        <grouping val="standard"/>
        <ser>
          <idx val="0"/>
          <order val="0"/>
          <tx>
            <strRef>
              <f>'シミュレーション'!B14</f>
            </strRef>
          </tx>
          <spPr>
            <a:ln w="20000">
              <a:solidFill>
                <a:srgbClr val="2A78D6"/>
              </a:solidFill>
              <a:prstDash val="solid"/>
            </a:ln>
          </spPr>
          <marker>
            <symbol val="none"/>
            <spPr>
              <a:ln>
                <a:prstDash val="solid"/>
              </a:ln>
            </spPr>
          </marker>
          <cat>
            <numRef>
              <f>'シミュレーション'!$C$10:$T$10</f>
            </numRef>
          </cat>
          <val>
            <numRef>
              <f>'シミュレーション'!$C$14:$T$14</f>
            </numRef>
          </val>
        </ser>
        <ser>
          <idx val="1"/>
          <order val="1"/>
          <tx>
            <strRef>
              <f>'シミュレーション'!B17</f>
            </strRef>
          </tx>
          <spPr>
            <a:ln w="20000">
              <a:solidFill>
                <a:srgbClr val="E34948"/>
              </a:solidFill>
              <a:prstDash val="dash"/>
            </a:ln>
          </spPr>
          <marker>
            <symbol val="none"/>
            <spPr>
              <a:ln>
                <a:prstDash val="solid"/>
              </a:ln>
            </spPr>
          </marker>
          <cat>
            <numRef>
              <f>'シミュレーション'!$C$10:$T$10</f>
            </numRef>
          </cat>
          <val>
            <numRef>
              <f>'シミュレーション'!$C$17:$T$17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円</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22</row>
      <rowOff>0</rowOff>
    </from>
    <ext cx="86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U21"/>
  <sheetViews>
    <sheetView showGridLines="0" workbookViewId="0">
      <selection activeCell="A1" sqref="A1"/>
    </sheetView>
  </sheetViews>
  <sheetFormatPr baseColWidth="8" defaultRowHeight="15"/>
  <cols>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s>
  <sheetData>
    <row r="2">
      <c r="B2" s="1" t="inlineStr">
        <is>
          <t>収益シミュレーション — armtechstore.jp</t>
        </is>
      </c>
    </row>
    <row r="3">
      <c r="B3" s="2" t="inlineStr">
        <is>
          <t>作成日: 2026-07-02 ／ 下のシナリオ・料金プランを切り替えると全体が再計算されます</t>
        </is>
      </c>
    </row>
    <row r="5">
      <c r="B5" s="3" t="inlineStr">
        <is>
          <t>シナリオ選択</t>
        </is>
      </c>
      <c r="C5" s="4" t="inlineStr">
        <is>
          <t>標準</t>
        </is>
      </c>
      <c r="E5" s="2" t="inlineStr">
        <is>
          <t>訪問数成長率/月</t>
        </is>
      </c>
      <c r="F5" s="5">
        <f>INDEX('前提・根拠'!$C$13:$C$16,MATCH($C$5,'前提・根拠'!$B$13:$B$16,0))</f>
        <v/>
      </c>
      <c r="H5" s="2" t="inlineStr">
        <is>
          <t>月額固定費</t>
        </is>
      </c>
      <c r="I5" s="6">
        <f>INDEX('前提・根拠'!$C$20:$C$23,MATCH($C$6,'前提・根拠'!$B$20:$B$23,0))</f>
        <v/>
      </c>
    </row>
    <row r="6">
      <c r="B6" s="3" t="inlineStr">
        <is>
          <t>料金プラン選択</t>
        </is>
      </c>
      <c r="C6" s="4" t="inlineStr">
        <is>
          <t>現行（月額55,000円）</t>
        </is>
      </c>
      <c r="E6" s="2" t="inlineStr">
        <is>
          <t>CVR</t>
        </is>
      </c>
      <c r="F6" s="7">
        <f>INDEX('前提・根拠'!$D$13:$D$16,MATCH($C$5,'前提・根拠'!$B$13:$B$16,0))</f>
        <v/>
      </c>
      <c r="H6" s="2" t="inlineStr">
        <is>
          <t>売上レベシェア</t>
        </is>
      </c>
      <c r="I6" s="5">
        <f>INDEX('前提・根拠'!$D$20:$D$23,MATCH($C$6,'前提・根拠'!$B$20:$B$23,0))</f>
        <v/>
      </c>
    </row>
    <row r="7">
      <c r="E7" s="2" t="inlineStr">
        <is>
          <t>平均購入単価</t>
        </is>
      </c>
      <c r="F7" s="6">
        <f>INDEX('前提・根拠'!$E$13:$E$16,MATCH($C$5,'前提・根拠'!$B$13:$B$16,0))</f>
        <v/>
      </c>
      <c r="H7" s="2" t="inlineStr">
        <is>
          <t>粗利レベシェア</t>
        </is>
      </c>
      <c r="I7" s="5">
        <f>INDEX('前提・根拠'!$E$20:$E$23,MATCH($C$6,'前提・根拠'!$B$20:$B$23,0))</f>
        <v/>
      </c>
    </row>
    <row r="8">
      <c r="E8" s="2" t="inlineStr">
        <is>
          <t>粗利率</t>
        </is>
      </c>
      <c r="F8" s="5" t="n">
        <v>0.4900578821927137</v>
      </c>
    </row>
    <row r="9">
      <c r="C9" s="3" t="inlineStr">
        <is>
          <t>実績</t>
        </is>
      </c>
      <c r="I9" s="3" t="inlineStr">
        <is>
          <t>予測</t>
        </is>
      </c>
    </row>
    <row r="10">
      <c r="B10" s="8" t="inlineStr">
        <is>
          <t>項目</t>
        </is>
      </c>
      <c r="C10" s="9" t="n">
        <v>46023</v>
      </c>
      <c r="D10" s="9" t="n">
        <v>46054</v>
      </c>
      <c r="E10" s="9" t="n">
        <v>46082</v>
      </c>
      <c r="F10" s="9" t="n">
        <v>46113</v>
      </c>
      <c r="G10" s="9" t="n">
        <v>46143</v>
      </c>
      <c r="H10" s="9" t="n">
        <v>46174</v>
      </c>
      <c r="I10" s="9" t="n">
        <v>46204</v>
      </c>
      <c r="J10" s="9" t="n">
        <v>46235</v>
      </c>
      <c r="K10" s="9" t="n">
        <v>46266</v>
      </c>
      <c r="L10" s="9" t="n">
        <v>46296</v>
      </c>
      <c r="M10" s="9" t="n">
        <v>46327</v>
      </c>
      <c r="N10" s="9" t="n">
        <v>46357</v>
      </c>
      <c r="O10" s="9" t="n">
        <v>46388</v>
      </c>
      <c r="P10" s="9" t="n">
        <v>46419</v>
      </c>
      <c r="Q10" s="9" t="n">
        <v>46447</v>
      </c>
      <c r="R10" s="9" t="n">
        <v>46478</v>
      </c>
      <c r="S10" s="9" t="n">
        <v>46508</v>
      </c>
      <c r="T10" s="9" t="n">
        <v>46539</v>
      </c>
      <c r="U10" s="8" t="inlineStr">
        <is>
          <t>予測12ヶ月計</t>
        </is>
      </c>
    </row>
    <row r="11">
      <c r="B11" s="10" t="inlineStr">
        <is>
          <t>サイト訪問数</t>
        </is>
      </c>
      <c r="C11" s="11" t="n">
        <v>5241</v>
      </c>
      <c r="D11" s="11" t="n">
        <v>5108</v>
      </c>
      <c r="E11" s="11" t="n">
        <v>7363</v>
      </c>
      <c r="F11" s="11" t="n">
        <v>6053</v>
      </c>
      <c r="G11" s="11" t="n">
        <v>5780</v>
      </c>
      <c r="H11" s="11" t="n">
        <v>5797</v>
      </c>
      <c r="I11" s="12">
        <f>ROUND(H11*(1+$F$5),0)</f>
        <v/>
      </c>
      <c r="J11" s="12">
        <f>ROUND(I11*(1+$F$5),0)</f>
        <v/>
      </c>
      <c r="K11" s="12">
        <f>ROUND(J11*(1+$F$5),0)</f>
        <v/>
      </c>
      <c r="L11" s="12">
        <f>ROUND(K11*(1+$F$5),0)</f>
        <v/>
      </c>
      <c r="M11" s="12">
        <f>ROUND(L11*(1+$F$5),0)</f>
        <v/>
      </c>
      <c r="N11" s="12">
        <f>ROUND(M11*(1+$F$5),0)</f>
        <v/>
      </c>
      <c r="O11" s="12">
        <f>ROUND(N11*(1+$F$5),0)</f>
        <v/>
      </c>
      <c r="P11" s="12">
        <f>ROUND(O11*(1+$F$5),0)</f>
        <v/>
      </c>
      <c r="Q11" s="12">
        <f>ROUND(P11*(1+$F$5),0)</f>
        <v/>
      </c>
      <c r="R11" s="12">
        <f>ROUND(Q11*(1+$F$5),0)</f>
        <v/>
      </c>
      <c r="S11" s="12">
        <f>ROUND(R11*(1+$F$5),0)</f>
        <v/>
      </c>
      <c r="T11" s="12">
        <f>ROUND(S11*(1+$F$5),0)</f>
        <v/>
      </c>
    </row>
    <row r="12">
      <c r="B12" s="10" t="inlineStr">
        <is>
          <t>注文数</t>
        </is>
      </c>
      <c r="C12" s="11" t="n">
        <v>4</v>
      </c>
      <c r="D12" s="11" t="n">
        <v>3</v>
      </c>
      <c r="E12" s="11" t="n">
        <v>3</v>
      </c>
      <c r="F12" s="11" t="n">
        <v>5</v>
      </c>
      <c r="G12" s="11" t="n">
        <v>3</v>
      </c>
      <c r="H12" s="11" t="n">
        <v>5</v>
      </c>
      <c r="I12" s="13">
        <f>I11*$F$6</f>
        <v/>
      </c>
      <c r="J12" s="13">
        <f>J11*$F$6</f>
        <v/>
      </c>
      <c r="K12" s="13">
        <f>K11*$F$6</f>
        <v/>
      </c>
      <c r="L12" s="13">
        <f>L11*$F$6</f>
        <v/>
      </c>
      <c r="M12" s="13">
        <f>M11*$F$6</f>
        <v/>
      </c>
      <c r="N12" s="13">
        <f>N11*$F$6</f>
        <v/>
      </c>
      <c r="O12" s="13">
        <f>O11*$F$6</f>
        <v/>
      </c>
      <c r="P12" s="13">
        <f>P11*$F$6</f>
        <v/>
      </c>
      <c r="Q12" s="13">
        <f>Q11*$F$6</f>
        <v/>
      </c>
      <c r="R12" s="13">
        <f>R11*$F$6</f>
        <v/>
      </c>
      <c r="S12" s="13">
        <f>S11*$F$6</f>
        <v/>
      </c>
      <c r="T12" s="13">
        <f>T11*$F$6</f>
        <v/>
      </c>
      <c r="U12" s="14">
        <f>SUM(I12:T12)</f>
        <v/>
      </c>
    </row>
    <row r="13">
      <c r="B13" s="10" t="inlineStr">
        <is>
          <t>売上</t>
        </is>
      </c>
      <c r="C13" s="15" t="n">
        <v>54220</v>
      </c>
      <c r="D13" s="15" t="n">
        <v>26160</v>
      </c>
      <c r="E13" s="15" t="n">
        <v>23890</v>
      </c>
      <c r="F13" s="15" t="n">
        <v>115980</v>
      </c>
      <c r="G13" s="15" t="n">
        <v>36060</v>
      </c>
      <c r="H13" s="15" t="n">
        <v>72840</v>
      </c>
      <c r="I13" s="16">
        <f>I12*$F$7</f>
        <v/>
      </c>
      <c r="J13" s="16">
        <f>J12*$F$7</f>
        <v/>
      </c>
      <c r="K13" s="16">
        <f>K12*$F$7</f>
        <v/>
      </c>
      <c r="L13" s="16">
        <f>L12*$F$7</f>
        <v/>
      </c>
      <c r="M13" s="16">
        <f>M12*$F$7</f>
        <v/>
      </c>
      <c r="N13" s="16">
        <f>N12*$F$7</f>
        <v/>
      </c>
      <c r="O13" s="16">
        <f>O12*$F$7</f>
        <v/>
      </c>
      <c r="P13" s="16">
        <f>P12*$F$7</f>
        <v/>
      </c>
      <c r="Q13" s="16">
        <f>Q12*$F$7</f>
        <v/>
      </c>
      <c r="R13" s="16">
        <f>R12*$F$7</f>
        <v/>
      </c>
      <c r="S13" s="16">
        <f>S12*$F$7</f>
        <v/>
      </c>
      <c r="T13" s="16">
        <f>T12*$F$7</f>
        <v/>
      </c>
      <c r="U13" s="17">
        <f>SUM(I13:T13)</f>
        <v/>
      </c>
    </row>
    <row r="14">
      <c r="B14" s="10" t="inlineStr">
        <is>
          <t>粗利</t>
        </is>
      </c>
      <c r="C14" s="15" t="n">
        <v>28630</v>
      </c>
      <c r="D14" s="15" t="n">
        <v>13080</v>
      </c>
      <c r="E14" s="15" t="n">
        <v>9223</v>
      </c>
      <c r="F14" s="15" t="n">
        <v>61116</v>
      </c>
      <c r="G14" s="15" t="n">
        <v>17530</v>
      </c>
      <c r="H14" s="15" t="n">
        <v>33200</v>
      </c>
      <c r="I14" s="16">
        <f>I13*$F$8</f>
        <v/>
      </c>
      <c r="J14" s="16">
        <f>J13*$F$8</f>
        <v/>
      </c>
      <c r="K14" s="16">
        <f>K13*$F$8</f>
        <v/>
      </c>
      <c r="L14" s="16">
        <f>L13*$F$8</f>
        <v/>
      </c>
      <c r="M14" s="16">
        <f>M13*$F$8</f>
        <v/>
      </c>
      <c r="N14" s="16">
        <f>N13*$F$8</f>
        <v/>
      </c>
      <c r="O14" s="16">
        <f>O13*$F$8</f>
        <v/>
      </c>
      <c r="P14" s="16">
        <f>P13*$F$8</f>
        <v/>
      </c>
      <c r="Q14" s="16">
        <f>Q13*$F$8</f>
        <v/>
      </c>
      <c r="R14" s="16">
        <f>R13*$F$8</f>
        <v/>
      </c>
      <c r="S14" s="16">
        <f>S13*$F$8</f>
        <v/>
      </c>
      <c r="T14" s="16">
        <f>T13*$F$8</f>
        <v/>
      </c>
      <c r="U14" s="17">
        <f>SUM(I14:T14)</f>
        <v/>
      </c>
    </row>
    <row r="15">
      <c r="B15" s="10" t="inlineStr">
        <is>
          <t>CVR</t>
        </is>
      </c>
      <c r="C15" s="18">
        <f>IFERROR(C12/C11,0)</f>
        <v/>
      </c>
      <c r="D15" s="18">
        <f>IFERROR(D12/D11,0)</f>
        <v/>
      </c>
      <c r="E15" s="18">
        <f>IFERROR(E12/E11,0)</f>
        <v/>
      </c>
      <c r="F15" s="18">
        <f>IFERROR(F12/F11,0)</f>
        <v/>
      </c>
      <c r="G15" s="18">
        <f>IFERROR(G12/G11,0)</f>
        <v/>
      </c>
      <c r="H15" s="18">
        <f>IFERROR(H12/H11,0)</f>
        <v/>
      </c>
      <c r="I15" s="19">
        <f>$F$6</f>
        <v/>
      </c>
      <c r="J15" s="19">
        <f>$F$6</f>
        <v/>
      </c>
      <c r="K15" s="19">
        <f>$F$6</f>
        <v/>
      </c>
      <c r="L15" s="19">
        <f>$F$6</f>
        <v/>
      </c>
      <c r="M15" s="19">
        <f>$F$6</f>
        <v/>
      </c>
      <c r="N15" s="19">
        <f>$F$6</f>
        <v/>
      </c>
      <c r="O15" s="19">
        <f>$F$6</f>
        <v/>
      </c>
      <c r="P15" s="19">
        <f>$F$6</f>
        <v/>
      </c>
      <c r="Q15" s="19">
        <f>$F$6</f>
        <v/>
      </c>
      <c r="R15" s="19">
        <f>$F$6</f>
        <v/>
      </c>
      <c r="S15" s="19">
        <f>$F$6</f>
        <v/>
      </c>
      <c r="T15" s="19">
        <f>$F$6</f>
        <v/>
      </c>
    </row>
    <row r="16">
      <c r="B16" s="10" t="inlineStr">
        <is>
          <t>平均購入単価</t>
        </is>
      </c>
      <c r="C16" s="15">
        <f>IFERROR(C13/C12,0)</f>
        <v/>
      </c>
      <c r="D16" s="15">
        <f>IFERROR(D13/D12,0)</f>
        <v/>
      </c>
      <c r="E16" s="15">
        <f>IFERROR(E13/E12,0)</f>
        <v/>
      </c>
      <c r="F16" s="15">
        <f>IFERROR(F13/F12,0)</f>
        <v/>
      </c>
      <c r="G16" s="15">
        <f>IFERROR(G13/G12,0)</f>
        <v/>
      </c>
      <c r="H16" s="15">
        <f>IFERROR(H13/H12,0)</f>
        <v/>
      </c>
      <c r="I16" s="16">
        <f>$F$7</f>
        <v/>
      </c>
      <c r="J16" s="16">
        <f>$F$7</f>
        <v/>
      </c>
      <c r="K16" s="16">
        <f>$F$7</f>
        <v/>
      </c>
      <c r="L16" s="16">
        <f>$F$7</f>
        <v/>
      </c>
      <c r="M16" s="16">
        <f>$F$7</f>
        <v/>
      </c>
      <c r="N16" s="16">
        <f>$F$7</f>
        <v/>
      </c>
      <c r="O16" s="16">
        <f>$F$7</f>
        <v/>
      </c>
      <c r="P16" s="16">
        <f>$F$7</f>
        <v/>
      </c>
      <c r="Q16" s="16">
        <f>$F$7</f>
        <v/>
      </c>
      <c r="R16" s="16">
        <f>$F$7</f>
        <v/>
      </c>
      <c r="S16" s="16">
        <f>$F$7</f>
        <v/>
      </c>
      <c r="T16" s="16">
        <f>$F$7</f>
        <v/>
      </c>
    </row>
    <row r="17">
      <c r="B17" s="10" t="inlineStr">
        <is>
          <t>SEO費用</t>
        </is>
      </c>
      <c r="C17" s="15" t="n">
        <v>55000</v>
      </c>
      <c r="D17" s="15" t="n">
        <v>55000</v>
      </c>
      <c r="E17" s="15" t="n">
        <v>55000</v>
      </c>
      <c r="F17" s="15" t="n">
        <v>55000</v>
      </c>
      <c r="G17" s="15" t="n">
        <v>55000</v>
      </c>
      <c r="H17" s="15" t="n">
        <v>55000</v>
      </c>
      <c r="I17" s="16">
        <f>$I$5+I13*$I$6+I14*$I$7</f>
        <v/>
      </c>
      <c r="J17" s="16">
        <f>$I$5+J13*$I$6+J14*$I$7</f>
        <v/>
      </c>
      <c r="K17" s="16">
        <f>$I$5+K13*$I$6+K14*$I$7</f>
        <v/>
      </c>
      <c r="L17" s="16">
        <f>$I$5+L13*$I$6+L14*$I$7</f>
        <v/>
      </c>
      <c r="M17" s="16">
        <f>$I$5+M13*$I$6+M14*$I$7</f>
        <v/>
      </c>
      <c r="N17" s="16">
        <f>$I$5+N13*$I$6+N14*$I$7</f>
        <v/>
      </c>
      <c r="O17" s="16">
        <f>$I$5+O13*$I$6+O14*$I$7</f>
        <v/>
      </c>
      <c r="P17" s="16">
        <f>$I$5+P13*$I$6+P14*$I$7</f>
        <v/>
      </c>
      <c r="Q17" s="16">
        <f>$I$5+Q13*$I$6+Q14*$I$7</f>
        <v/>
      </c>
      <c r="R17" s="16">
        <f>$I$5+R13*$I$6+R14*$I$7</f>
        <v/>
      </c>
      <c r="S17" s="16">
        <f>$I$5+S13*$I$6+S14*$I$7</f>
        <v/>
      </c>
      <c r="T17" s="16">
        <f>$I$5+T13*$I$6+T14*$I$7</f>
        <v/>
      </c>
      <c r="U17" s="17">
        <f>SUM(I17:T17)</f>
        <v/>
      </c>
    </row>
    <row r="18">
      <c r="B18" s="10" t="inlineStr">
        <is>
          <t>手残り（粗利−費用）</t>
        </is>
      </c>
      <c r="C18" s="15">
        <f>C14-C17</f>
        <v/>
      </c>
      <c r="D18" s="15">
        <f>D14-D17</f>
        <v/>
      </c>
      <c r="E18" s="15">
        <f>E14-E17</f>
        <v/>
      </c>
      <c r="F18" s="15">
        <f>F14-F17</f>
        <v/>
      </c>
      <c r="G18" s="15">
        <f>G14-G17</f>
        <v/>
      </c>
      <c r="H18" s="15">
        <f>H14-H17</f>
        <v/>
      </c>
      <c r="I18" s="16">
        <f>I14-I17</f>
        <v/>
      </c>
      <c r="J18" s="16">
        <f>J14-J17</f>
        <v/>
      </c>
      <c r="K18" s="16">
        <f>K14-K17</f>
        <v/>
      </c>
      <c r="L18" s="16">
        <f>L14-L17</f>
        <v/>
      </c>
      <c r="M18" s="16">
        <f>M14-M17</f>
        <v/>
      </c>
      <c r="N18" s="16">
        <f>N14-N17</f>
        <v/>
      </c>
      <c r="O18" s="16">
        <f>O14-O17</f>
        <v/>
      </c>
      <c r="P18" s="16">
        <f>P14-P17</f>
        <v/>
      </c>
      <c r="Q18" s="16">
        <f>Q14-Q17</f>
        <v/>
      </c>
      <c r="R18" s="16">
        <f>R14-R17</f>
        <v/>
      </c>
      <c r="S18" s="16">
        <f>S14-S17</f>
        <v/>
      </c>
      <c r="T18" s="16">
        <f>T14-T17</f>
        <v/>
      </c>
      <c r="U18" s="17">
        <f>SUM(I18:T18)</f>
        <v/>
      </c>
    </row>
    <row r="19">
      <c r="B19" s="10" t="inlineStr">
        <is>
          <t>累計手残り</t>
        </is>
      </c>
      <c r="C19" s="15">
        <f>C18</f>
        <v/>
      </c>
      <c r="D19" s="15">
        <f>C19+D18</f>
        <v/>
      </c>
      <c r="E19" s="15">
        <f>D19+E18</f>
        <v/>
      </c>
      <c r="F19" s="15">
        <f>E19+F18</f>
        <v/>
      </c>
      <c r="G19" s="15">
        <f>F19+G18</f>
        <v/>
      </c>
      <c r="H19" s="15">
        <f>G19+H18</f>
        <v/>
      </c>
      <c r="I19" s="16">
        <f>H19+I18</f>
        <v/>
      </c>
      <c r="J19" s="16">
        <f>I19+J18</f>
        <v/>
      </c>
      <c r="K19" s="16">
        <f>J19+K18</f>
        <v/>
      </c>
      <c r="L19" s="16">
        <f>K19+L18</f>
        <v/>
      </c>
      <c r="M19" s="16">
        <f>L19+M18</f>
        <v/>
      </c>
      <c r="N19" s="16">
        <f>M19+N18</f>
        <v/>
      </c>
      <c r="O19" s="16">
        <f>N19+O18</f>
        <v/>
      </c>
      <c r="P19" s="16">
        <f>O19+P18</f>
        <v/>
      </c>
      <c r="Q19" s="16">
        <f>P19+Q18</f>
        <v/>
      </c>
      <c r="R19" s="16">
        <f>Q19+R18</f>
        <v/>
      </c>
      <c r="S19" s="16">
        <f>R19+S18</f>
        <v/>
      </c>
      <c r="T19" s="16">
        <f>S19+T18</f>
        <v/>
      </c>
    </row>
    <row r="21">
      <c r="B21" s="2" t="inlineStr">
        <is>
          <t>※実績列（灰色）は確定値。予測列はシナリオパラメータに連動する数式です。レンジ（P10〜P90）は「モンテカルロ」シートをご参照ください。</t>
        </is>
      </c>
    </row>
  </sheetData>
  <dataValidations count="2">
    <dataValidation sqref="C5" showDropDown="0" showInputMessage="0" showErrorMessage="0" allowBlank="0" type="list">
      <formula1>"保守,標準,強気,カスタム"</formula1>
    </dataValidation>
    <dataValidation sqref="C6" showDropDown="0" showInputMessage="0" showErrorMessage="0" allowBlank="0" type="list">
      <formula1>"現行（月額55,000円）,提案（月額88,000円+売上5%）,希望（粗利レベシェア50%）,カスタム"</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O31"/>
  <sheetViews>
    <sheetView showGridLines="0" workbookViewId="0">
      <selection activeCell="A1" sqref="A1"/>
    </sheetView>
  </sheetViews>
  <sheetFormatPr baseColWidth="8" defaultRowHeight="15"/>
  <cols>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2">
      <c r="B2" s="1" t="inlineStr">
        <is>
          <t>シナリオ比較（2026/07〜2027/06）</t>
        </is>
      </c>
    </row>
    <row r="4">
      <c r="B4" s="20" t="inlineStr">
        <is>
          <t>【保守】 成長率1.0%/月・CVR 0.045%・単価¥12,000  —  成長鈍化・CVR横ばい（CI下限）</t>
        </is>
      </c>
      <c r="C4" s="21" t="n"/>
      <c r="D4" s="21" t="n"/>
      <c r="E4" s="21" t="n"/>
      <c r="F4" s="21" t="n"/>
      <c r="G4" s="21" t="n"/>
      <c r="H4" s="21" t="n"/>
      <c r="I4" s="21" t="n"/>
      <c r="J4" s="21" t="n"/>
      <c r="K4" s="21" t="n"/>
      <c r="L4" s="21" t="n"/>
      <c r="M4" s="21" t="n"/>
      <c r="N4" s="21" t="n"/>
      <c r="O4" s="21" t="n"/>
    </row>
    <row r="5">
      <c r="B5" s="8" t="inlineStr">
        <is>
          <t>項目</t>
        </is>
      </c>
      <c r="C5" s="9" t="n">
        <v>46204</v>
      </c>
      <c r="D5" s="9" t="n">
        <v>46235</v>
      </c>
      <c r="E5" s="9" t="n">
        <v>46266</v>
      </c>
      <c r="F5" s="9" t="n">
        <v>46296</v>
      </c>
      <c r="G5" s="9" t="n">
        <v>46327</v>
      </c>
      <c r="H5" s="9" t="n">
        <v>46357</v>
      </c>
      <c r="I5" s="9" t="n">
        <v>46388</v>
      </c>
      <c r="J5" s="9" t="n">
        <v>46419</v>
      </c>
      <c r="K5" s="9" t="n">
        <v>46447</v>
      </c>
      <c r="L5" s="9" t="n">
        <v>46478</v>
      </c>
      <c r="M5" s="9" t="n">
        <v>46508</v>
      </c>
      <c r="N5" s="9" t="n">
        <v>46539</v>
      </c>
      <c r="O5" s="8" t="inlineStr">
        <is>
          <t>12ヶ月計</t>
        </is>
      </c>
    </row>
    <row r="6">
      <c r="B6" s="10" t="inlineStr">
        <is>
          <t>サイト訪問数</t>
        </is>
      </c>
      <c r="C6" s="12" t="n">
        <v>5855</v>
      </c>
      <c r="D6" s="12" t="n">
        <v>5914</v>
      </c>
      <c r="E6" s="12" t="n">
        <v>5973</v>
      </c>
      <c r="F6" s="12" t="n">
        <v>6032</v>
      </c>
      <c r="G6" s="12" t="n">
        <v>6093</v>
      </c>
      <c r="H6" s="12" t="n">
        <v>6154</v>
      </c>
      <c r="I6" s="12" t="n">
        <v>6215</v>
      </c>
      <c r="J6" s="12" t="n">
        <v>6277</v>
      </c>
      <c r="K6" s="12" t="n">
        <v>6340</v>
      </c>
      <c r="L6" s="12" t="n">
        <v>6403</v>
      </c>
      <c r="M6" s="12" t="n">
        <v>6468</v>
      </c>
      <c r="N6" s="12" t="n">
        <v>6532</v>
      </c>
    </row>
    <row r="7">
      <c r="B7" s="10" t="inlineStr">
        <is>
          <t>注文数</t>
        </is>
      </c>
      <c r="C7" s="13" t="n">
        <v>2.63</v>
      </c>
      <c r="D7" s="13" t="n">
        <v>2.66</v>
      </c>
      <c r="E7" s="13" t="n">
        <v>2.69</v>
      </c>
      <c r="F7" s="13" t="n">
        <v>2.71</v>
      </c>
      <c r="G7" s="13" t="n">
        <v>2.74</v>
      </c>
      <c r="H7" s="13" t="n">
        <v>2.77</v>
      </c>
      <c r="I7" s="13" t="n">
        <v>2.8</v>
      </c>
      <c r="J7" s="13" t="n">
        <v>2.82</v>
      </c>
      <c r="K7" s="13" t="n">
        <v>2.85</v>
      </c>
      <c r="L7" s="13" t="n">
        <v>2.88</v>
      </c>
      <c r="M7" s="13" t="n">
        <v>2.91</v>
      </c>
      <c r="N7" s="13" t="n">
        <v>2.94</v>
      </c>
    </row>
    <row r="8">
      <c r="B8" s="10" t="inlineStr">
        <is>
          <t>売上</t>
        </is>
      </c>
      <c r="C8" s="16" t="n">
        <v>31617</v>
      </c>
      <c r="D8" s="16" t="n">
        <v>31933</v>
      </c>
      <c r="E8" s="16" t="n">
        <v>32252</v>
      </c>
      <c r="F8" s="16" t="n">
        <v>32575</v>
      </c>
      <c r="G8" s="16" t="n">
        <v>32901</v>
      </c>
      <c r="H8" s="16" t="n">
        <v>33230</v>
      </c>
      <c r="I8" s="16" t="n">
        <v>33562</v>
      </c>
      <c r="J8" s="16" t="n">
        <v>33898</v>
      </c>
      <c r="K8" s="16" t="n">
        <v>34237</v>
      </c>
      <c r="L8" s="16" t="n">
        <v>34579</v>
      </c>
      <c r="M8" s="16" t="n">
        <v>34925</v>
      </c>
      <c r="N8" s="16" t="n">
        <v>35274</v>
      </c>
      <c r="O8" s="17" t="n">
        <v>400983</v>
      </c>
    </row>
    <row r="9">
      <c r="B9" s="10" t="inlineStr">
        <is>
          <t>粗利</t>
        </is>
      </c>
      <c r="C9" s="16" t="n">
        <v>15492</v>
      </c>
      <c r="D9" s="16" t="n">
        <v>15647</v>
      </c>
      <c r="E9" s="16" t="n">
        <v>15804</v>
      </c>
      <c r="F9" s="16" t="n">
        <v>15962</v>
      </c>
      <c r="G9" s="16" t="n">
        <v>16121</v>
      </c>
      <c r="H9" s="16" t="n">
        <v>16283</v>
      </c>
      <c r="I9" s="16" t="n">
        <v>16445</v>
      </c>
      <c r="J9" s="16" t="n">
        <v>16610</v>
      </c>
      <c r="K9" s="16" t="n">
        <v>16776</v>
      </c>
      <c r="L9" s="16" t="n">
        <v>16944</v>
      </c>
      <c r="M9" s="16" t="n">
        <v>17113</v>
      </c>
      <c r="N9" s="16" t="n">
        <v>17284</v>
      </c>
      <c r="O9" s="17" t="n">
        <v>196481</v>
      </c>
    </row>
    <row r="11">
      <c r="B11" s="20" t="inlineStr">
        <is>
          <t>【標準】 成長率2.5%/月・CVR 0.065%・単価¥14,000  —  直近実績の成長・CVRを維持</t>
        </is>
      </c>
      <c r="C11" s="21" t="n"/>
      <c r="D11" s="21" t="n"/>
      <c r="E11" s="21" t="n"/>
      <c r="F11" s="21" t="n"/>
      <c r="G11" s="21" t="n"/>
      <c r="H11" s="21" t="n"/>
      <c r="I11" s="21" t="n"/>
      <c r="J11" s="21" t="n"/>
      <c r="K11" s="21" t="n"/>
      <c r="L11" s="21" t="n"/>
      <c r="M11" s="21" t="n"/>
      <c r="N11" s="21" t="n"/>
      <c r="O11" s="21" t="n"/>
    </row>
    <row r="12">
      <c r="B12" s="8" t="inlineStr">
        <is>
          <t>項目</t>
        </is>
      </c>
      <c r="C12" s="9" t="n">
        <v>46204</v>
      </c>
      <c r="D12" s="9" t="n">
        <v>46235</v>
      </c>
      <c r="E12" s="9" t="n">
        <v>46266</v>
      </c>
      <c r="F12" s="9" t="n">
        <v>46296</v>
      </c>
      <c r="G12" s="9" t="n">
        <v>46327</v>
      </c>
      <c r="H12" s="9" t="n">
        <v>46357</v>
      </c>
      <c r="I12" s="9" t="n">
        <v>46388</v>
      </c>
      <c r="J12" s="9" t="n">
        <v>46419</v>
      </c>
      <c r="K12" s="9" t="n">
        <v>46447</v>
      </c>
      <c r="L12" s="9" t="n">
        <v>46478</v>
      </c>
      <c r="M12" s="9" t="n">
        <v>46508</v>
      </c>
      <c r="N12" s="9" t="n">
        <v>46539</v>
      </c>
      <c r="O12" s="8" t="inlineStr">
        <is>
          <t>12ヶ月計</t>
        </is>
      </c>
    </row>
    <row r="13">
      <c r="B13" s="10" t="inlineStr">
        <is>
          <t>サイト訪問数</t>
        </is>
      </c>
      <c r="C13" s="12" t="n">
        <v>5942</v>
      </c>
      <c r="D13" s="12" t="n">
        <v>6090</v>
      </c>
      <c r="E13" s="12" t="n">
        <v>6243</v>
      </c>
      <c r="F13" s="12" t="n">
        <v>6399</v>
      </c>
      <c r="G13" s="12" t="n">
        <v>6559</v>
      </c>
      <c r="H13" s="12" t="n">
        <v>6723</v>
      </c>
      <c r="I13" s="12" t="n">
        <v>6891</v>
      </c>
      <c r="J13" s="12" t="n">
        <v>7063</v>
      </c>
      <c r="K13" s="12" t="n">
        <v>7240</v>
      </c>
      <c r="L13" s="12" t="n">
        <v>7421</v>
      </c>
      <c r="M13" s="12" t="n">
        <v>7606</v>
      </c>
      <c r="N13" s="12" t="n">
        <v>7796</v>
      </c>
    </row>
    <row r="14">
      <c r="B14" s="10" t="inlineStr">
        <is>
          <t>注文数</t>
        </is>
      </c>
      <c r="C14" s="13" t="n">
        <v>3.86</v>
      </c>
      <c r="D14" s="13" t="n">
        <v>3.96</v>
      </c>
      <c r="E14" s="13" t="n">
        <v>4.06</v>
      </c>
      <c r="F14" s="13" t="n">
        <v>4.16</v>
      </c>
      <c r="G14" s="13" t="n">
        <v>4.26</v>
      </c>
      <c r="H14" s="13" t="n">
        <v>4.37</v>
      </c>
      <c r="I14" s="13" t="n">
        <v>4.48</v>
      </c>
      <c r="J14" s="13" t="n">
        <v>4.59</v>
      </c>
      <c r="K14" s="13" t="n">
        <v>4.71</v>
      </c>
      <c r="L14" s="13" t="n">
        <v>4.82</v>
      </c>
      <c r="M14" s="13" t="n">
        <v>4.94</v>
      </c>
      <c r="N14" s="13" t="n">
        <v>5.07</v>
      </c>
    </row>
    <row r="15">
      <c r="B15" s="10" t="inlineStr">
        <is>
          <t>売上</t>
        </is>
      </c>
      <c r="C15" s="16" t="n">
        <v>54072</v>
      </c>
      <c r="D15" s="16" t="n">
        <v>55423</v>
      </c>
      <c r="E15" s="16" t="n">
        <v>56809</v>
      </c>
      <c r="F15" s="16" t="n">
        <v>58229</v>
      </c>
      <c r="G15" s="16" t="n">
        <v>59685</v>
      </c>
      <c r="H15" s="16" t="n">
        <v>61177</v>
      </c>
      <c r="I15" s="16" t="n">
        <v>62706</v>
      </c>
      <c r="J15" s="16" t="n">
        <v>64274</v>
      </c>
      <c r="K15" s="16" t="n">
        <v>65881</v>
      </c>
      <c r="L15" s="16" t="n">
        <v>67528</v>
      </c>
      <c r="M15" s="16" t="n">
        <v>69216</v>
      </c>
      <c r="N15" s="16" t="n">
        <v>70947</v>
      </c>
      <c r="O15" s="17" t="n">
        <v>745947</v>
      </c>
    </row>
    <row r="16">
      <c r="B16" s="10" t="inlineStr">
        <is>
          <t>粗利</t>
        </is>
      </c>
      <c r="C16" s="16" t="n">
        <v>26495</v>
      </c>
      <c r="D16" s="16" t="n">
        <v>27157</v>
      </c>
      <c r="E16" s="16" t="n">
        <v>27836</v>
      </c>
      <c r="F16" s="16" t="n">
        <v>28532</v>
      </c>
      <c r="G16" s="16" t="n">
        <v>29246</v>
      </c>
      <c r="H16" s="16" t="n">
        <v>29977</v>
      </c>
      <c r="I16" s="16" t="n">
        <v>30726</v>
      </c>
      <c r="J16" s="16" t="n">
        <v>31494</v>
      </c>
      <c r="K16" s="16" t="n">
        <v>32282</v>
      </c>
      <c r="L16" s="16" t="n">
        <v>33089</v>
      </c>
      <c r="M16" s="16" t="n">
        <v>33916</v>
      </c>
      <c r="N16" s="16" t="n">
        <v>34764</v>
      </c>
      <c r="O16" s="17" t="n">
        <v>365514</v>
      </c>
    </row>
    <row r="18">
      <c r="B18" s="20" t="inlineStr">
        <is>
          <t>【強気】 成長率5.0%/月・CVR 0.090%・単価¥15,000  —  KW順位改善+CVR施策が奏功（CI上限）</t>
        </is>
      </c>
      <c r="C18" s="21" t="n"/>
      <c r="D18" s="21" t="n"/>
      <c r="E18" s="21" t="n"/>
      <c r="F18" s="21" t="n"/>
      <c r="G18" s="21" t="n"/>
      <c r="H18" s="21" t="n"/>
      <c r="I18" s="21" t="n"/>
      <c r="J18" s="21" t="n"/>
      <c r="K18" s="21" t="n"/>
      <c r="L18" s="21" t="n"/>
      <c r="M18" s="21" t="n"/>
      <c r="N18" s="21" t="n"/>
      <c r="O18" s="21" t="n"/>
    </row>
    <row r="19">
      <c r="B19" s="8" t="inlineStr">
        <is>
          <t>項目</t>
        </is>
      </c>
      <c r="C19" s="9" t="n">
        <v>46204</v>
      </c>
      <c r="D19" s="9" t="n">
        <v>46235</v>
      </c>
      <c r="E19" s="9" t="n">
        <v>46266</v>
      </c>
      <c r="F19" s="9" t="n">
        <v>46296</v>
      </c>
      <c r="G19" s="9" t="n">
        <v>46327</v>
      </c>
      <c r="H19" s="9" t="n">
        <v>46357</v>
      </c>
      <c r="I19" s="9" t="n">
        <v>46388</v>
      </c>
      <c r="J19" s="9" t="n">
        <v>46419</v>
      </c>
      <c r="K19" s="9" t="n">
        <v>46447</v>
      </c>
      <c r="L19" s="9" t="n">
        <v>46478</v>
      </c>
      <c r="M19" s="9" t="n">
        <v>46508</v>
      </c>
      <c r="N19" s="9" t="n">
        <v>46539</v>
      </c>
      <c r="O19" s="8" t="inlineStr">
        <is>
          <t>12ヶ月計</t>
        </is>
      </c>
    </row>
    <row r="20">
      <c r="B20" s="10" t="inlineStr">
        <is>
          <t>サイト訪問数</t>
        </is>
      </c>
      <c r="C20" s="12" t="n">
        <v>6087</v>
      </c>
      <c r="D20" s="12" t="n">
        <v>6391</v>
      </c>
      <c r="E20" s="12" t="n">
        <v>6711</v>
      </c>
      <c r="F20" s="12" t="n">
        <v>7046</v>
      </c>
      <c r="G20" s="12" t="n">
        <v>7399</v>
      </c>
      <c r="H20" s="12" t="n">
        <v>7769</v>
      </c>
      <c r="I20" s="12" t="n">
        <v>8157</v>
      </c>
      <c r="J20" s="12" t="n">
        <v>8565</v>
      </c>
      <c r="K20" s="12" t="n">
        <v>8993</v>
      </c>
      <c r="L20" s="12" t="n">
        <v>9443</v>
      </c>
      <c r="M20" s="12" t="n">
        <v>9915</v>
      </c>
      <c r="N20" s="12" t="n">
        <v>10411</v>
      </c>
    </row>
    <row r="21">
      <c r="B21" s="10" t="inlineStr">
        <is>
          <t>注文数</t>
        </is>
      </c>
      <c r="C21" s="13" t="n">
        <v>5.48</v>
      </c>
      <c r="D21" s="13" t="n">
        <v>5.75</v>
      </c>
      <c r="E21" s="13" t="n">
        <v>6.04</v>
      </c>
      <c r="F21" s="13" t="n">
        <v>6.34</v>
      </c>
      <c r="G21" s="13" t="n">
        <v>6.66</v>
      </c>
      <c r="H21" s="13" t="n">
        <v>6.99</v>
      </c>
      <c r="I21" s="13" t="n">
        <v>7.34</v>
      </c>
      <c r="J21" s="13" t="n">
        <v>7.71</v>
      </c>
      <c r="K21" s="13" t="n">
        <v>8.09</v>
      </c>
      <c r="L21" s="13" t="n">
        <v>8.5</v>
      </c>
      <c r="M21" s="13" t="n">
        <v>8.92</v>
      </c>
      <c r="N21" s="13" t="n">
        <v>9.369999999999999</v>
      </c>
    </row>
    <row r="22">
      <c r="B22" s="10" t="inlineStr">
        <is>
          <t>売上</t>
        </is>
      </c>
      <c r="C22" s="16" t="n">
        <v>82172</v>
      </c>
      <c r="D22" s="16" t="n">
        <v>86281</v>
      </c>
      <c r="E22" s="16" t="n">
        <v>90595</v>
      </c>
      <c r="F22" s="16" t="n">
        <v>95125</v>
      </c>
      <c r="G22" s="16" t="n">
        <v>99881</v>
      </c>
      <c r="H22" s="16" t="n">
        <v>104875</v>
      </c>
      <c r="I22" s="16" t="n">
        <v>110119</v>
      </c>
      <c r="J22" s="16" t="n">
        <v>115625</v>
      </c>
      <c r="K22" s="16" t="n">
        <v>121406</v>
      </c>
      <c r="L22" s="16" t="n">
        <v>127476</v>
      </c>
      <c r="M22" s="16" t="n">
        <v>133850</v>
      </c>
      <c r="N22" s="16" t="n">
        <v>140543</v>
      </c>
      <c r="O22" s="17" t="n">
        <v>1307948</v>
      </c>
    </row>
    <row r="23">
      <c r="B23" s="10" t="inlineStr">
        <is>
          <t>粗利</t>
        </is>
      </c>
      <c r="C23" s="16" t="n">
        <v>40265</v>
      </c>
      <c r="D23" s="16" t="n">
        <v>42278</v>
      </c>
      <c r="E23" s="16" t="n">
        <v>44392</v>
      </c>
      <c r="F23" s="16" t="n">
        <v>46611</v>
      </c>
      <c r="G23" s="16" t="n">
        <v>48942</v>
      </c>
      <c r="H23" s="16" t="n">
        <v>51389</v>
      </c>
      <c r="I23" s="16" t="n">
        <v>53958</v>
      </c>
      <c r="J23" s="16" t="n">
        <v>56656</v>
      </c>
      <c r="K23" s="16" t="n">
        <v>59489</v>
      </c>
      <c r="L23" s="16" t="n">
        <v>62463</v>
      </c>
      <c r="M23" s="16" t="n">
        <v>65587</v>
      </c>
      <c r="N23" s="16" t="n">
        <v>68866</v>
      </c>
      <c r="O23" s="17" t="n">
        <v>640896</v>
      </c>
    </row>
    <row r="25">
      <c r="B25" s="20" t="inlineStr">
        <is>
          <t>料金プラン別 クライアント手残り（12ヶ月累計 = 粗利 − SEO費用）</t>
        </is>
      </c>
      <c r="C25" s="21" t="n"/>
      <c r="D25" s="21" t="n"/>
      <c r="E25" s="21" t="n"/>
    </row>
    <row r="26">
      <c r="B26" s="8" t="inlineStr">
        <is>
          <t>プラン ＼ シナリオ</t>
        </is>
      </c>
      <c r="C26" s="8" t="inlineStr">
        <is>
          <t>保守</t>
        </is>
      </c>
      <c r="D26" s="8" t="inlineStr">
        <is>
          <t>標準</t>
        </is>
      </c>
      <c r="E26" s="8" t="inlineStr">
        <is>
          <t>強気</t>
        </is>
      </c>
    </row>
    <row r="27">
      <c r="B27" s="10" t="inlineStr">
        <is>
          <t>現行: 月額55,000円</t>
        </is>
      </c>
      <c r="C27" s="22" t="n">
        <v>-463519</v>
      </c>
      <c r="D27" s="22" t="n">
        <v>-294486</v>
      </c>
      <c r="E27" s="22" t="n">
        <v>-19104</v>
      </c>
    </row>
    <row r="28">
      <c r="B28" s="10" t="inlineStr">
        <is>
          <t>提案: 月額88,000円+売上5%</t>
        </is>
      </c>
      <c r="C28" s="22" t="n">
        <v>-879569</v>
      </c>
      <c r="D28" s="22" t="n">
        <v>-727782</v>
      </c>
      <c r="E28" s="22" t="n">
        <v>-480502</v>
      </c>
    </row>
    <row r="29">
      <c r="B29" s="10" t="inlineStr">
        <is>
          <t>希望: 粗利レベシェア50%</t>
        </is>
      </c>
      <c r="C29" s="16" t="n">
        <v>98240</v>
      </c>
      <c r="D29" s="16" t="n">
        <v>182756</v>
      </c>
      <c r="E29" s="16" t="n">
        <v>320448</v>
      </c>
    </row>
    <row r="31">
      <c r="B31" s="2" t="inlineStr">
        <is>
          <t>※粗利レベシェア50%案は費用が粗利に連動するため、クライアント手残りは常に粗利の50%（マイナスにならない）。固定費型プランは粗利が費用を下回る月は持ち出しになります。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N27"/>
  <sheetViews>
    <sheetView showGridLines="0" workbookViewId="0">
      <selection activeCell="A1" sqref="A1"/>
    </sheetView>
  </sheetViews>
  <sheetFormatPr baseColWidth="8" defaultRowHeight="15"/>
  <cols>
    <col width="24"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2">
      <c r="B2" s="1" t="inlineStr">
        <is>
          <t>モンテカルロ・シミュレーション（各月2万回試行）</t>
        </is>
      </c>
    </row>
    <row r="3">
      <c r="B3" s="2" t="inlineStr">
        <is>
          <t>注文数〜Poisson(訪問数×CVR)、注文単価〜対数正規（実測フィット）。売上・粗利の振れ幅を示します。</t>
        </is>
      </c>
    </row>
    <row r="5">
      <c r="B5" s="20" t="inlineStr">
        <is>
          <t>【保守】</t>
        </is>
      </c>
      <c r="C5" s="21" t="n"/>
      <c r="D5" s="21" t="n"/>
      <c r="E5" s="21" t="n"/>
      <c r="F5" s="21" t="n"/>
      <c r="G5" s="21" t="n"/>
      <c r="H5" s="21" t="n"/>
      <c r="I5" s="21" t="n"/>
      <c r="J5" s="21" t="n"/>
      <c r="K5" s="21" t="n"/>
      <c r="L5" s="21" t="n"/>
      <c r="M5" s="21" t="n"/>
      <c r="N5" s="21" t="n"/>
    </row>
    <row r="6">
      <c r="B6" s="8" t="inlineStr">
        <is>
          <t>項目</t>
        </is>
      </c>
      <c r="C6" s="9" t="n">
        <v>46204</v>
      </c>
      <c r="D6" s="9" t="n">
        <v>46235</v>
      </c>
      <c r="E6" s="9" t="n">
        <v>46266</v>
      </c>
      <c r="F6" s="9" t="n">
        <v>46296</v>
      </c>
      <c r="G6" s="9" t="n">
        <v>46327</v>
      </c>
      <c r="H6" s="9" t="n">
        <v>46357</v>
      </c>
      <c r="I6" s="9" t="n">
        <v>46388</v>
      </c>
      <c r="J6" s="9" t="n">
        <v>46419</v>
      </c>
      <c r="K6" s="9" t="n">
        <v>46447</v>
      </c>
      <c r="L6" s="9" t="n">
        <v>46478</v>
      </c>
      <c r="M6" s="9" t="n">
        <v>46508</v>
      </c>
      <c r="N6" s="9" t="n">
        <v>46539</v>
      </c>
    </row>
    <row r="7">
      <c r="B7" s="10" t="inlineStr">
        <is>
          <t>売上 P90（上振れ）</t>
        </is>
      </c>
      <c r="C7" s="16" t="n">
        <v>58969.27872618566</v>
      </c>
      <c r="D7" s="16" t="n">
        <v>59565.1182103363</v>
      </c>
      <c r="E7" s="16" t="n">
        <v>60835.49015582795</v>
      </c>
      <c r="F7" s="16" t="n">
        <v>61028.74891716717</v>
      </c>
      <c r="G7" s="16" t="n">
        <v>61493.02571812877</v>
      </c>
      <c r="H7" s="16" t="n">
        <v>62005.05489808464</v>
      </c>
      <c r="I7" s="16" t="n">
        <v>62509.80307120774</v>
      </c>
      <c r="J7" s="16" t="n">
        <v>62742.07615487565</v>
      </c>
      <c r="K7" s="16" t="n">
        <v>63419.261723597</v>
      </c>
      <c r="L7" s="16" t="n">
        <v>64007.42881327476</v>
      </c>
      <c r="M7" s="16" t="n">
        <v>64501.33410948818</v>
      </c>
      <c r="N7" s="16" t="n">
        <v>64382.14741903501</v>
      </c>
    </row>
    <row r="8">
      <c r="B8" s="10" t="inlineStr">
        <is>
          <t>売上 P50（中央値）</t>
        </is>
      </c>
      <c r="C8" s="16" t="n">
        <v>28937.75751595951</v>
      </c>
      <c r="D8" s="16" t="n">
        <v>29345.31793688713</v>
      </c>
      <c r="E8" s="16" t="n">
        <v>29615.05314031863</v>
      </c>
      <c r="F8" s="16" t="n">
        <v>29957.24925358579</v>
      </c>
      <c r="G8" s="16" t="n">
        <v>30557.04690465905</v>
      </c>
      <c r="H8" s="16" t="n">
        <v>30933.24672715928</v>
      </c>
      <c r="I8" s="16" t="n">
        <v>30841.14922506114</v>
      </c>
      <c r="J8" s="16" t="n">
        <v>31503.81309979611</v>
      </c>
      <c r="K8" s="16" t="n">
        <v>31637.56271771732</v>
      </c>
      <c r="L8" s="16" t="n">
        <v>32042.32535887716</v>
      </c>
      <c r="M8" s="16" t="n">
        <v>32323.43587064325</v>
      </c>
      <c r="N8" s="16" t="n">
        <v>32538.02947683274</v>
      </c>
    </row>
    <row r="9">
      <c r="B9" s="10" t="inlineStr">
        <is>
          <t>売上 P10（下振れ）</t>
        </is>
      </c>
      <c r="C9" s="16" t="n">
        <v>7706.148299051591</v>
      </c>
      <c r="D9" s="16" t="n">
        <v>7926.603269862823</v>
      </c>
      <c r="E9" s="16" t="n">
        <v>8307.840609284056</v>
      </c>
      <c r="F9" s="16" t="n">
        <v>8218.694800648225</v>
      </c>
      <c r="G9" s="16" t="n">
        <v>8568.185032143689</v>
      </c>
      <c r="H9" s="16" t="n">
        <v>8838.478698350924</v>
      </c>
      <c r="I9" s="16" t="n">
        <v>8533.218831391923</v>
      </c>
      <c r="J9" s="16" t="n">
        <v>8879.075616217275</v>
      </c>
      <c r="K9" s="16" t="n">
        <v>9205.207372555715</v>
      </c>
      <c r="L9" s="16" t="n">
        <v>9282.822054866449</v>
      </c>
      <c r="M9" s="16" t="n">
        <v>9514.706902501444</v>
      </c>
      <c r="N9" s="16" t="n">
        <v>9414.564718158534</v>
      </c>
    </row>
    <row r="10">
      <c r="B10" s="10" t="inlineStr">
        <is>
          <t>粗利 P50</t>
        </is>
      </c>
      <c r="C10" s="16" t="n">
        <v>14179.50118282016</v>
      </c>
      <c r="D10" s="16" t="n">
        <v>14379.20578907469</v>
      </c>
      <c r="E10" s="16" t="n">
        <v>14511.37603875613</v>
      </c>
      <c r="F10" s="16" t="n">
        <v>14679.05213425704</v>
      </c>
      <c r="G10" s="16" t="n">
        <v>14972.95298328294</v>
      </c>
      <c r="H10" s="16" t="n">
        <v>15157.29089630805</v>
      </c>
      <c r="I10" s="16" t="n">
        <v>15112.16312027996</v>
      </c>
      <c r="J10" s="16" t="n">
        <v>15436.86841890009</v>
      </c>
      <c r="K10" s="16" t="n">
        <v>15502.40573168149</v>
      </c>
      <c r="L10" s="16" t="n">
        <v>15700.73942584981</v>
      </c>
      <c r="M10" s="16" t="n">
        <v>15838.48357661519</v>
      </c>
      <c r="N10" s="16" t="n">
        <v>15943.63444364804</v>
      </c>
    </row>
    <row r="11">
      <c r="B11" s="10" t="inlineStr">
        <is>
          <t>粗利≧55,000円の確率</t>
        </is>
      </c>
      <c r="C11" s="23" t="n">
        <v>0.0011</v>
      </c>
      <c r="D11" s="23" t="n">
        <v>0.0016</v>
      </c>
      <c r="E11" s="23" t="n">
        <v>0.0016</v>
      </c>
      <c r="F11" s="23" t="n">
        <v>0.0015</v>
      </c>
      <c r="G11" s="23" t="n">
        <v>0.0022</v>
      </c>
      <c r="H11" s="23" t="n">
        <v>0.00215</v>
      </c>
      <c r="I11" s="23" t="n">
        <v>0.0025</v>
      </c>
      <c r="J11" s="23" t="n">
        <v>0.00215</v>
      </c>
      <c r="K11" s="23" t="n">
        <v>0.0017</v>
      </c>
      <c r="L11" s="23" t="n">
        <v>0.00225</v>
      </c>
      <c r="M11" s="23" t="n">
        <v>0.00295</v>
      </c>
      <c r="N11" s="23" t="n">
        <v>0.00215</v>
      </c>
    </row>
    <row r="13">
      <c r="B13" s="20" t="inlineStr">
        <is>
          <t>【標準】</t>
        </is>
      </c>
      <c r="C13" s="21" t="n"/>
      <c r="D13" s="21" t="n"/>
      <c r="E13" s="21" t="n"/>
      <c r="F13" s="21" t="n"/>
      <c r="G13" s="21" t="n"/>
      <c r="H13" s="21" t="n"/>
      <c r="I13" s="21" t="n"/>
      <c r="J13" s="21" t="n"/>
      <c r="K13" s="21" t="n"/>
      <c r="L13" s="21" t="n"/>
      <c r="M13" s="21" t="n"/>
      <c r="N13" s="21" t="n"/>
    </row>
    <row r="14">
      <c r="B14" s="8" t="inlineStr">
        <is>
          <t>項目</t>
        </is>
      </c>
      <c r="C14" s="9" t="n">
        <v>46204</v>
      </c>
      <c r="D14" s="9" t="n">
        <v>46235</v>
      </c>
      <c r="E14" s="9" t="n">
        <v>46266</v>
      </c>
      <c r="F14" s="9" t="n">
        <v>46296</v>
      </c>
      <c r="G14" s="9" t="n">
        <v>46327</v>
      </c>
      <c r="H14" s="9" t="n">
        <v>46357</v>
      </c>
      <c r="I14" s="9" t="n">
        <v>46388</v>
      </c>
      <c r="J14" s="9" t="n">
        <v>46419</v>
      </c>
      <c r="K14" s="9" t="n">
        <v>46447</v>
      </c>
      <c r="L14" s="9" t="n">
        <v>46478</v>
      </c>
      <c r="M14" s="9" t="n">
        <v>46508</v>
      </c>
      <c r="N14" s="9" t="n">
        <v>46539</v>
      </c>
    </row>
    <row r="15">
      <c r="B15" s="10" t="inlineStr">
        <is>
          <t>売上 P90（上振れ）</t>
        </is>
      </c>
      <c r="C15" s="16" t="n">
        <v>92615.50869994682</v>
      </c>
      <c r="D15" s="16" t="n">
        <v>95250.77363675117</v>
      </c>
      <c r="E15" s="16" t="n">
        <v>97975.96563060662</v>
      </c>
      <c r="F15" s="16" t="n">
        <v>98621.18696839454</v>
      </c>
      <c r="G15" s="16" t="n">
        <v>100588.5032613905</v>
      </c>
      <c r="H15" s="16" t="n">
        <v>102575.5279970508</v>
      </c>
      <c r="I15" s="16" t="n">
        <v>103966.9660548057</v>
      </c>
      <c r="J15" s="16" t="n">
        <v>106720.5312563364</v>
      </c>
      <c r="K15" s="16" t="n">
        <v>108556.4809819618</v>
      </c>
      <c r="L15" s="16" t="n">
        <v>110863.2429240392</v>
      </c>
      <c r="M15" s="16" t="n">
        <v>112617.8254886118</v>
      </c>
      <c r="N15" s="16" t="n">
        <v>114901.5449422692</v>
      </c>
    </row>
    <row r="16">
      <c r="B16" s="10" t="inlineStr">
        <is>
          <t>売上 P50（中央値）</t>
        </is>
      </c>
      <c r="C16" s="16" t="n">
        <v>51225.2152230245</v>
      </c>
      <c r="D16" s="16" t="n">
        <v>52241.3775476662</v>
      </c>
      <c r="E16" s="16" t="n">
        <v>54124.56839207546</v>
      </c>
      <c r="F16" s="16" t="n">
        <v>54858.37491634856</v>
      </c>
      <c r="G16" s="16" t="n">
        <v>56412.07275284659</v>
      </c>
      <c r="H16" s="16" t="n">
        <v>58228.02166899991</v>
      </c>
      <c r="I16" s="16" t="n">
        <v>59320.40041405581</v>
      </c>
      <c r="J16" s="16" t="n">
        <v>61387.06700047814</v>
      </c>
      <c r="K16" s="16" t="n">
        <v>62620.6818398669</v>
      </c>
      <c r="L16" s="16" t="n">
        <v>64854.47637214267</v>
      </c>
      <c r="M16" s="16" t="n">
        <v>66281.99669266833</v>
      </c>
      <c r="N16" s="16" t="n">
        <v>67409.87096475485</v>
      </c>
    </row>
    <row r="17">
      <c r="B17" s="10" t="inlineStr">
        <is>
          <t>売上 P10（下振れ）</t>
        </is>
      </c>
      <c r="C17" s="16" t="n">
        <v>18835.38402453335</v>
      </c>
      <c r="D17" s="16" t="n">
        <v>19686.55657855687</v>
      </c>
      <c r="E17" s="16" t="n">
        <v>21218.49513561417</v>
      </c>
      <c r="F17" s="16" t="n">
        <v>21740.51646018785</v>
      </c>
      <c r="G17" s="16" t="n">
        <v>22690.24822970319</v>
      </c>
      <c r="H17" s="16" t="n">
        <v>23153.12036714142</v>
      </c>
      <c r="I17" s="16" t="n">
        <v>24277.42284726758</v>
      </c>
      <c r="J17" s="16" t="n">
        <v>25369.3437087844</v>
      </c>
      <c r="K17" s="16" t="n">
        <v>26558.56640355214</v>
      </c>
      <c r="L17" s="16" t="n">
        <v>27626.88192834352</v>
      </c>
      <c r="M17" s="16" t="n">
        <v>28654.97342589739</v>
      </c>
      <c r="N17" s="16" t="n">
        <v>30062.39897847702</v>
      </c>
    </row>
    <row r="18">
      <c r="B18" s="10" t="inlineStr">
        <is>
          <t>粗利 P50</t>
        </is>
      </c>
      <c r="C18" s="16" t="n">
        <v>25100.35545928201</v>
      </c>
      <c r="D18" s="16" t="n">
        <v>25598.27499835644</v>
      </c>
      <c r="E18" s="16" t="n">
        <v>26521.03851211697</v>
      </c>
      <c r="F18" s="16" t="n">
        <v>26880.60370901079</v>
      </c>
      <c r="G18" s="16" t="n">
        <v>27641.91564889483</v>
      </c>
      <c r="H18" s="16" t="n">
        <v>28531.73061780996</v>
      </c>
      <c r="I18" s="16" t="n">
        <v>29066.99620288735</v>
      </c>
      <c r="J18" s="16" t="n">
        <v>30079.66283023429</v>
      </c>
      <c r="K18" s="16" t="n">
        <v>30684.13410153478</v>
      </c>
      <c r="L18" s="16" t="n">
        <v>31778.69342234991</v>
      </c>
      <c r="M18" s="16" t="n">
        <v>32478.17837940748</v>
      </c>
      <c r="N18" s="16" t="n">
        <v>33030.83677272988</v>
      </c>
    </row>
    <row r="19">
      <c r="B19" s="10" t="inlineStr">
        <is>
          <t>粗利≧55,000円の確率</t>
        </is>
      </c>
      <c r="C19" s="23" t="n">
        <v>0.03555</v>
      </c>
      <c r="D19" s="23" t="n">
        <v>0.04145</v>
      </c>
      <c r="E19" s="23" t="n">
        <v>0.0511</v>
      </c>
      <c r="F19" s="23" t="n">
        <v>0.05135</v>
      </c>
      <c r="G19" s="23" t="n">
        <v>0.05585</v>
      </c>
      <c r="H19" s="23" t="n">
        <v>0.06265</v>
      </c>
      <c r="I19" s="23" t="n">
        <v>0.0692</v>
      </c>
      <c r="J19" s="23" t="n">
        <v>0.07615</v>
      </c>
      <c r="K19" s="23" t="n">
        <v>0.083</v>
      </c>
      <c r="L19" s="23" t="n">
        <v>0.0941</v>
      </c>
      <c r="M19" s="23" t="n">
        <v>0.1021</v>
      </c>
      <c r="N19" s="23" t="n">
        <v>0.11195</v>
      </c>
    </row>
    <row r="21">
      <c r="B21" s="20" t="inlineStr">
        <is>
          <t>【強気】</t>
        </is>
      </c>
      <c r="C21" s="21" t="n"/>
      <c r="D21" s="21" t="n"/>
      <c r="E21" s="21" t="n"/>
      <c r="F21" s="21" t="n"/>
      <c r="G21" s="21" t="n"/>
      <c r="H21" s="21" t="n"/>
      <c r="I21" s="21" t="n"/>
      <c r="J21" s="21" t="n"/>
      <c r="K21" s="21" t="n"/>
      <c r="L21" s="21" t="n"/>
      <c r="M21" s="21" t="n"/>
      <c r="N21" s="21" t="n"/>
    </row>
    <row r="22">
      <c r="B22" s="8" t="inlineStr">
        <is>
          <t>項目</t>
        </is>
      </c>
      <c r="C22" s="9" t="n">
        <v>46204</v>
      </c>
      <c r="D22" s="9" t="n">
        <v>46235</v>
      </c>
      <c r="E22" s="9" t="n">
        <v>46266</v>
      </c>
      <c r="F22" s="9" t="n">
        <v>46296</v>
      </c>
      <c r="G22" s="9" t="n">
        <v>46327</v>
      </c>
      <c r="H22" s="9" t="n">
        <v>46357</v>
      </c>
      <c r="I22" s="9" t="n">
        <v>46388</v>
      </c>
      <c r="J22" s="9" t="n">
        <v>46419</v>
      </c>
      <c r="K22" s="9" t="n">
        <v>46447</v>
      </c>
      <c r="L22" s="9" t="n">
        <v>46478</v>
      </c>
      <c r="M22" s="9" t="n">
        <v>46508</v>
      </c>
      <c r="N22" s="9" t="n">
        <v>46539</v>
      </c>
    </row>
    <row r="23">
      <c r="B23" s="10" t="inlineStr">
        <is>
          <t>売上 P90（上振れ）</t>
        </is>
      </c>
      <c r="C23" s="16" t="n">
        <v>131029.7634728387</v>
      </c>
      <c r="D23" s="16" t="n">
        <v>136898.7551228723</v>
      </c>
      <c r="E23" s="16" t="n">
        <v>142989.5643208887</v>
      </c>
      <c r="F23" s="16" t="n">
        <v>149139.75460908</v>
      </c>
      <c r="G23" s="16" t="n">
        <v>155609.0267767909</v>
      </c>
      <c r="H23" s="16" t="n">
        <v>160844.9726770987</v>
      </c>
      <c r="I23" s="16" t="n">
        <v>167290.7728161555</v>
      </c>
      <c r="J23" s="16" t="n">
        <v>175099.5246274721</v>
      </c>
      <c r="K23" s="16" t="n">
        <v>182169.957735128</v>
      </c>
      <c r="L23" s="16" t="n">
        <v>188925.4637016828</v>
      </c>
      <c r="M23" s="16" t="n">
        <v>198263.5413164123</v>
      </c>
      <c r="N23" s="16" t="n">
        <v>206411.2982879805</v>
      </c>
    </row>
    <row r="24">
      <c r="B24" s="10" t="inlineStr">
        <is>
          <t>売上 P50（中央値）</t>
        </is>
      </c>
      <c r="C24" s="16" t="n">
        <v>78719.03484278612</v>
      </c>
      <c r="D24" s="16" t="n">
        <v>83411.74961499157</v>
      </c>
      <c r="E24" s="16" t="n">
        <v>86833.64312457615</v>
      </c>
      <c r="F24" s="16" t="n">
        <v>92199.36841573296</v>
      </c>
      <c r="G24" s="16" t="n">
        <v>96291.23087868129</v>
      </c>
      <c r="H24" s="16" t="n">
        <v>101668.7102057426</v>
      </c>
      <c r="I24" s="16" t="n">
        <v>107020.5264281574</v>
      </c>
      <c r="J24" s="16" t="n">
        <v>113090.4249069771</v>
      </c>
      <c r="K24" s="16" t="n">
        <v>118364.782740815</v>
      </c>
      <c r="L24" s="16" t="n">
        <v>123976.3649321405</v>
      </c>
      <c r="M24" s="16" t="n">
        <v>130753.1719534377</v>
      </c>
      <c r="N24" s="16" t="n">
        <v>137972.1430665918</v>
      </c>
    </row>
    <row r="25">
      <c r="B25" s="10" t="inlineStr">
        <is>
          <t>売上 P10（下振れ）</t>
        </is>
      </c>
      <c r="C25" s="16" t="n">
        <v>36507.69715119784</v>
      </c>
      <c r="D25" s="16" t="n">
        <v>39443.29715513347</v>
      </c>
      <c r="E25" s="16" t="n">
        <v>42489.45174989936</v>
      </c>
      <c r="F25" s="16" t="n">
        <v>46319.28588260106</v>
      </c>
      <c r="G25" s="16" t="n">
        <v>49034.45711490521</v>
      </c>
      <c r="H25" s="16" t="n">
        <v>53118.65060723341</v>
      </c>
      <c r="I25" s="16" t="n">
        <v>57149.71080662702</v>
      </c>
      <c r="J25" s="16" t="n">
        <v>61290.2005807895</v>
      </c>
      <c r="K25" s="16" t="n">
        <v>65148.37113122173</v>
      </c>
      <c r="L25" s="16" t="n">
        <v>70424.2070455683</v>
      </c>
      <c r="M25" s="16" t="n">
        <v>75829.04509665108</v>
      </c>
      <c r="N25" s="16" t="n">
        <v>79111.72249155001</v>
      </c>
    </row>
    <row r="26">
      <c r="B26" s="10" t="inlineStr">
        <is>
          <t>粗利 P50</t>
        </is>
      </c>
      <c r="C26" s="16" t="n">
        <v>38572.3270729652</v>
      </c>
      <c r="D26" s="16" t="n">
        <v>40871.75731134587</v>
      </c>
      <c r="E26" s="16" t="n">
        <v>42548.48513104231</v>
      </c>
      <c r="F26" s="16" t="n">
        <v>45177.69052370915</v>
      </c>
      <c r="G26" s="16" t="n">
        <v>47182.70313055384</v>
      </c>
      <c r="H26" s="16" t="n">
        <v>49817.66800081385</v>
      </c>
      <c r="I26" s="16" t="n">
        <v>52440.05794979713</v>
      </c>
      <c r="J26" s="16" t="n">
        <v>55414.30820441879</v>
      </c>
      <c r="K26" s="16" t="n">
        <v>57998.74354299938</v>
      </c>
      <c r="L26" s="16" t="n">
        <v>60748.41881674887</v>
      </c>
      <c r="M26" s="16" t="n">
        <v>64069.05425718446</v>
      </c>
      <c r="N26" s="16" t="n">
        <v>67606.35010262996</v>
      </c>
    </row>
    <row r="27">
      <c r="B27" s="10" t="inlineStr">
        <is>
          <t>粗利≧55,000円の確率</t>
        </is>
      </c>
      <c r="C27" s="23" t="n">
        <v>0.20495</v>
      </c>
      <c r="D27" s="23" t="n">
        <v>0.23595</v>
      </c>
      <c r="E27" s="23" t="n">
        <v>0.26985</v>
      </c>
      <c r="F27" s="23" t="n">
        <v>0.31475</v>
      </c>
      <c r="G27" s="23" t="n">
        <v>0.3524</v>
      </c>
      <c r="H27" s="23" t="n">
        <v>0.4045</v>
      </c>
      <c r="I27" s="23" t="n">
        <v>0.4545</v>
      </c>
      <c r="J27" s="23" t="n">
        <v>0.5071</v>
      </c>
      <c r="K27" s="23" t="n">
        <v>0.55545</v>
      </c>
      <c r="L27" s="23" t="n">
        <v>0.60345</v>
      </c>
      <c r="M27" s="23" t="n">
        <v>0.6599</v>
      </c>
      <c r="N27" s="23" t="n">
        <v>0.70335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21"/>
  <sheetViews>
    <sheetView showGridLines="0" workbookViewId="0">
      <selection activeCell="A1" sqref="A1"/>
    </sheetView>
  </sheetViews>
  <sheetFormatPr baseColWidth="8" defaultRowHeight="15"/>
  <cols>
    <col width="12" customWidth="1" min="2" max="2"/>
    <col width="14" customWidth="1" min="3" max="3"/>
    <col width="10" customWidth="1" min="4" max="4"/>
    <col width="12" customWidth="1" min="5" max="5"/>
    <col width="12" customWidth="1" min="6" max="6"/>
    <col width="10" customWidth="1" min="7" max="7"/>
    <col width="14" customWidth="1" min="8" max="8"/>
    <col width="10" customWidth="1" min="9" max="9"/>
  </cols>
  <sheetData>
    <row r="2">
      <c r="B2" s="1" t="inlineStr">
        <is>
          <t>月次実績（2025/03〜2026/06）</t>
        </is>
      </c>
    </row>
    <row r="4">
      <c r="B4" s="8" t="inlineStr">
        <is>
          <t>年月</t>
        </is>
      </c>
      <c r="C4" s="8" t="inlineStr">
        <is>
          <t>サイト訪問数</t>
        </is>
      </c>
      <c r="D4" s="8" t="inlineStr">
        <is>
          <t>注文数</t>
        </is>
      </c>
      <c r="E4" s="8" t="inlineStr">
        <is>
          <t>売上</t>
        </is>
      </c>
      <c r="F4" s="8" t="inlineStr">
        <is>
          <t>粗利</t>
        </is>
      </c>
      <c r="G4" s="8" t="inlineStr">
        <is>
          <t>CVR</t>
        </is>
      </c>
      <c r="H4" s="8" t="inlineStr">
        <is>
          <t>平均購入単価</t>
        </is>
      </c>
      <c r="I4" s="8" t="inlineStr">
        <is>
          <t>粗利率</t>
        </is>
      </c>
    </row>
    <row r="5">
      <c r="B5" s="24" t="n">
        <v>45717</v>
      </c>
      <c r="C5" s="12" t="n">
        <v>679</v>
      </c>
      <c r="D5" s="12" t="n">
        <v>0</v>
      </c>
      <c r="E5" s="16" t="n">
        <v>0</v>
      </c>
      <c r="F5" s="16" t="n">
        <v>0</v>
      </c>
      <c r="G5" s="19">
        <f>IFERROR(D5/C5,0)</f>
        <v/>
      </c>
      <c r="H5" s="16">
        <f>IFERROR(E5/D5,0)</f>
        <v/>
      </c>
      <c r="I5" s="25">
        <f>IFERROR(F5/E5,0)</f>
        <v/>
      </c>
    </row>
    <row r="6">
      <c r="B6" s="24" t="n">
        <v>45748</v>
      </c>
      <c r="C6" s="12" t="n">
        <v>44</v>
      </c>
      <c r="D6" s="12" t="n">
        <v>0</v>
      </c>
      <c r="E6" s="16" t="n">
        <v>0</v>
      </c>
      <c r="F6" s="16" t="n">
        <v>0</v>
      </c>
      <c r="G6" s="19">
        <f>IFERROR(D6/C6,0)</f>
        <v/>
      </c>
      <c r="H6" s="16">
        <f>IFERROR(E6/D6,0)</f>
        <v/>
      </c>
      <c r="I6" s="25">
        <f>IFERROR(F6/E6,0)</f>
        <v/>
      </c>
    </row>
    <row r="7">
      <c r="B7" s="24" t="n">
        <v>45778</v>
      </c>
      <c r="C7" s="12" t="n">
        <v>90</v>
      </c>
      <c r="D7" s="12" t="n">
        <v>0</v>
      </c>
      <c r="E7" s="16" t="n">
        <v>0</v>
      </c>
      <c r="F7" s="16" t="n">
        <v>0</v>
      </c>
      <c r="G7" s="19">
        <f>IFERROR(D7/C7,0)</f>
        <v/>
      </c>
      <c r="H7" s="16">
        <f>IFERROR(E7/D7,0)</f>
        <v/>
      </c>
      <c r="I7" s="25">
        <f>IFERROR(F7/E7,0)</f>
        <v/>
      </c>
    </row>
    <row r="8">
      <c r="B8" s="24" t="n">
        <v>45809</v>
      </c>
      <c r="C8" s="12" t="n">
        <v>119</v>
      </c>
      <c r="D8" s="12" t="n">
        <v>0</v>
      </c>
      <c r="E8" s="16" t="n">
        <v>0</v>
      </c>
      <c r="F8" s="16" t="n">
        <v>0</v>
      </c>
      <c r="G8" s="19">
        <f>IFERROR(D8/C8,0)</f>
        <v/>
      </c>
      <c r="H8" s="16">
        <f>IFERROR(E8/D8,0)</f>
        <v/>
      </c>
      <c r="I8" s="25">
        <f>IFERROR(F8/E8,0)</f>
        <v/>
      </c>
    </row>
    <row r="9">
      <c r="B9" s="24" t="n">
        <v>45839</v>
      </c>
      <c r="C9" s="12" t="n">
        <v>112</v>
      </c>
      <c r="D9" s="12" t="n">
        <v>0</v>
      </c>
      <c r="E9" s="16" t="n">
        <v>0</v>
      </c>
      <c r="F9" s="16" t="n">
        <v>0</v>
      </c>
      <c r="G9" s="19">
        <f>IFERROR(D9/C9,0)</f>
        <v/>
      </c>
      <c r="H9" s="16">
        <f>IFERROR(E9/D9,0)</f>
        <v/>
      </c>
      <c r="I9" s="25">
        <f>IFERROR(F9/E9,0)</f>
        <v/>
      </c>
    </row>
    <row r="10">
      <c r="B10" s="24" t="n">
        <v>45870</v>
      </c>
      <c r="C10" s="12" t="n">
        <v>197</v>
      </c>
      <c r="D10" s="12" t="n">
        <v>0</v>
      </c>
      <c r="E10" s="16" t="n">
        <v>0</v>
      </c>
      <c r="F10" s="16" t="n">
        <v>0</v>
      </c>
      <c r="G10" s="19">
        <f>IFERROR(D10/C10,0)</f>
        <v/>
      </c>
      <c r="H10" s="16">
        <f>IFERROR(E10/D10,0)</f>
        <v/>
      </c>
      <c r="I10" s="25">
        <f>IFERROR(F10/E10,0)</f>
        <v/>
      </c>
    </row>
    <row r="11">
      <c r="B11" s="24" t="n">
        <v>45901</v>
      </c>
      <c r="C11" s="12" t="n">
        <v>597</v>
      </c>
      <c r="D11" s="12" t="n">
        <v>3</v>
      </c>
      <c r="E11" s="16" t="n">
        <v>42780</v>
      </c>
      <c r="F11" s="16" t="n">
        <v>20390</v>
      </c>
      <c r="G11" s="19">
        <f>IFERROR(D11/C11,0)</f>
        <v/>
      </c>
      <c r="H11" s="16">
        <f>IFERROR(E11/D11,0)</f>
        <v/>
      </c>
      <c r="I11" s="25">
        <f>IFERROR(F11/E11,0)</f>
        <v/>
      </c>
    </row>
    <row r="12">
      <c r="B12" s="24" t="n">
        <v>45931</v>
      </c>
      <c r="C12" s="12" t="n">
        <v>1153</v>
      </c>
      <c r="D12" s="12" t="n">
        <v>1</v>
      </c>
      <c r="E12" s="16" t="n">
        <v>9880</v>
      </c>
      <c r="F12" s="16" t="n">
        <v>3940</v>
      </c>
      <c r="G12" s="19">
        <f>IFERROR(D12/C12,0)</f>
        <v/>
      </c>
      <c r="H12" s="16">
        <f>IFERROR(E12/D12,0)</f>
        <v/>
      </c>
      <c r="I12" s="25">
        <f>IFERROR(F12/E12,0)</f>
        <v/>
      </c>
    </row>
    <row r="13">
      <c r="B13" s="24" t="n">
        <v>45962</v>
      </c>
      <c r="C13" s="12" t="n">
        <v>2015</v>
      </c>
      <c r="D13" s="12" t="n">
        <v>0</v>
      </c>
      <c r="E13" s="16" t="n">
        <v>0</v>
      </c>
      <c r="F13" s="16" t="n">
        <v>0</v>
      </c>
      <c r="G13" s="19">
        <f>IFERROR(D13/C13,0)</f>
        <v/>
      </c>
      <c r="H13" s="16">
        <f>IFERROR(E13/D13,0)</f>
        <v/>
      </c>
      <c r="I13" s="25">
        <f>IFERROR(F13/E13,0)</f>
        <v/>
      </c>
    </row>
    <row r="14">
      <c r="B14" s="24" t="n">
        <v>45992</v>
      </c>
      <c r="C14" s="12" t="n">
        <v>3111</v>
      </c>
      <c r="D14" s="12" t="n">
        <v>0</v>
      </c>
      <c r="E14" s="16" t="n">
        <v>0</v>
      </c>
      <c r="F14" s="16" t="n">
        <v>0</v>
      </c>
      <c r="G14" s="19">
        <f>IFERROR(D14/C14,0)</f>
        <v/>
      </c>
      <c r="H14" s="16">
        <f>IFERROR(E14/D14,0)</f>
        <v/>
      </c>
      <c r="I14" s="25">
        <f>IFERROR(F14/E14,0)</f>
        <v/>
      </c>
    </row>
    <row r="15">
      <c r="B15" s="24" t="n">
        <v>46023</v>
      </c>
      <c r="C15" s="12" t="n">
        <v>5241</v>
      </c>
      <c r="D15" s="12" t="n">
        <v>4</v>
      </c>
      <c r="E15" s="16" t="n">
        <v>54220</v>
      </c>
      <c r="F15" s="16" t="n">
        <v>28630</v>
      </c>
      <c r="G15" s="19">
        <f>IFERROR(D15/C15,0)</f>
        <v/>
      </c>
      <c r="H15" s="16">
        <f>IFERROR(E15/D15,0)</f>
        <v/>
      </c>
      <c r="I15" s="25">
        <f>IFERROR(F15/E15,0)</f>
        <v/>
      </c>
    </row>
    <row r="16">
      <c r="B16" s="24" t="n">
        <v>46054</v>
      </c>
      <c r="C16" s="12" t="n">
        <v>5108</v>
      </c>
      <c r="D16" s="12" t="n">
        <v>3</v>
      </c>
      <c r="E16" s="16" t="n">
        <v>26160</v>
      </c>
      <c r="F16" s="16" t="n">
        <v>13080</v>
      </c>
      <c r="G16" s="19">
        <f>IFERROR(D16/C16,0)</f>
        <v/>
      </c>
      <c r="H16" s="16">
        <f>IFERROR(E16/D16,0)</f>
        <v/>
      </c>
      <c r="I16" s="25">
        <f>IFERROR(F16/E16,0)</f>
        <v/>
      </c>
    </row>
    <row r="17">
      <c r="B17" s="24" t="n">
        <v>46082</v>
      </c>
      <c r="C17" s="12" t="n">
        <v>7363</v>
      </c>
      <c r="D17" s="12" t="n">
        <v>3</v>
      </c>
      <c r="E17" s="16" t="n">
        <v>23890</v>
      </c>
      <c r="F17" s="16" t="n">
        <v>9223</v>
      </c>
      <c r="G17" s="19">
        <f>IFERROR(D17/C17,0)</f>
        <v/>
      </c>
      <c r="H17" s="16">
        <f>IFERROR(E17/D17,0)</f>
        <v/>
      </c>
      <c r="I17" s="25">
        <f>IFERROR(F17/E17,0)</f>
        <v/>
      </c>
    </row>
    <row r="18">
      <c r="B18" s="24" t="n">
        <v>46113</v>
      </c>
      <c r="C18" s="12" t="n">
        <v>6053</v>
      </c>
      <c r="D18" s="12" t="n">
        <v>5</v>
      </c>
      <c r="E18" s="16" t="n">
        <v>115980</v>
      </c>
      <c r="F18" s="16" t="n">
        <v>61116</v>
      </c>
      <c r="G18" s="19">
        <f>IFERROR(D18/C18,0)</f>
        <v/>
      </c>
      <c r="H18" s="16">
        <f>IFERROR(E18/D18,0)</f>
        <v/>
      </c>
      <c r="I18" s="25">
        <f>IFERROR(F18/E18,0)</f>
        <v/>
      </c>
    </row>
    <row r="19">
      <c r="B19" s="24" t="n">
        <v>46143</v>
      </c>
      <c r="C19" s="12" t="n">
        <v>5780</v>
      </c>
      <c r="D19" s="12" t="n">
        <v>3</v>
      </c>
      <c r="E19" s="16" t="n">
        <v>36060</v>
      </c>
      <c r="F19" s="16" t="n">
        <v>17530</v>
      </c>
      <c r="G19" s="19">
        <f>IFERROR(D19/C19,0)</f>
        <v/>
      </c>
      <c r="H19" s="16">
        <f>IFERROR(E19/D19,0)</f>
        <v/>
      </c>
      <c r="I19" s="25">
        <f>IFERROR(F19/E19,0)</f>
        <v/>
      </c>
    </row>
    <row r="20">
      <c r="B20" s="24" t="n">
        <v>46174</v>
      </c>
      <c r="C20" s="12" t="n">
        <v>5797</v>
      </c>
      <c r="D20" s="12" t="n">
        <v>5</v>
      </c>
      <c r="E20" s="16" t="n">
        <v>72840</v>
      </c>
      <c r="F20" s="16" t="n">
        <v>33200</v>
      </c>
      <c r="G20" s="19">
        <f>IFERROR(D20/C20,0)</f>
        <v/>
      </c>
      <c r="H20" s="16">
        <f>IFERROR(E20/D20,0)</f>
        <v/>
      </c>
      <c r="I20" s="25">
        <f>IFERROR(F20/E20,0)</f>
        <v/>
      </c>
    </row>
    <row r="21">
      <c r="B21" s="10" t="inlineStr">
        <is>
          <t>合計/平均</t>
        </is>
      </c>
      <c r="C21" s="26">
        <f>SUM(C5:C20)</f>
        <v/>
      </c>
      <c r="D21" s="26">
        <f>SUM(D5:D20)</f>
        <v/>
      </c>
      <c r="E21" s="17">
        <f>SUM(E5:E20)</f>
        <v/>
      </c>
      <c r="F21" s="17">
        <f>SUM(F5:F20)</f>
        <v/>
      </c>
      <c r="G21" s="27">
        <f>D21/C21</f>
        <v/>
      </c>
      <c r="H21" s="17">
        <f>E21/D21</f>
        <v/>
      </c>
      <c r="I21" s="28">
        <f>F21/E21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F40"/>
  <sheetViews>
    <sheetView showGridLines="0" workbookViewId="0">
      <selection activeCell="A1" sqref="A1"/>
    </sheetView>
  </sheetViews>
  <sheetFormatPr baseColWidth="8" defaultRowHeight="15"/>
  <cols>
    <col width="34" customWidth="1" min="2" max="2"/>
    <col width="16" customWidth="1" min="3" max="3"/>
    <col width="16" customWidth="1" min="4" max="4"/>
    <col width="16" customWidth="1" min="5" max="5"/>
    <col width="70" customWidth="1" min="6" max="6"/>
  </cols>
  <sheetData>
    <row r="2">
      <c r="B2" s="1" t="inlineStr">
        <is>
          <t>前提条件とパラメータ推定根拠</t>
        </is>
      </c>
    </row>
    <row r="4">
      <c r="B4" s="20" t="inlineStr">
        <is>
          <t>実測パラメータ（2025/09〜2026/06 プール推定）</t>
        </is>
      </c>
      <c r="C4" s="21" t="n"/>
      <c r="D4" s="21" t="n"/>
    </row>
    <row r="5">
      <c r="B5" t="inlineStr">
        <is>
          <t>CVR（購入率）</t>
        </is>
      </c>
      <c r="C5" s="29" t="n">
        <v>0.0006395376379743238</v>
      </c>
      <c r="D5" s="2" t="inlineStr">
        <is>
          <t>注文27件 ÷ 訪問42,218（95%信頼区間 0.044%〜0.093%）</t>
        </is>
      </c>
    </row>
    <row r="6">
      <c r="B6" t="inlineStr">
        <is>
          <t>平均購入単価</t>
        </is>
      </c>
      <c r="C6" s="30" t="n">
        <v>14141.11111111111</v>
      </c>
      <c r="D6" s="2" t="inlineStr">
        <is>
          <t>売上¥381,810 ÷ 27件（月次実績は¥7,963〜¥23,196と分散大）</t>
        </is>
      </c>
    </row>
    <row r="7">
      <c r="B7" t="inlineStr">
        <is>
          <t>粗利率</t>
        </is>
      </c>
      <c r="C7" s="31" t="n">
        <v>0.4900578821927137</v>
      </c>
      <c r="D7" s="2" t="inlineStr">
        <is>
          <t>粗利¥187,109 ÷ 売上¥381,810</t>
        </is>
      </c>
    </row>
    <row r="8">
      <c r="B8" t="inlineStr">
        <is>
          <t>直近6ヶ月のトラフィック月次成長率</t>
        </is>
      </c>
      <c r="C8" s="31" t="n">
        <v>0.02037034477225652</v>
      </c>
      <c r="D8" s="2" t="inlineStr">
        <is>
          <t>2026/01: 5,241 → 2026/06: 5,797（幾何平均）</t>
        </is>
      </c>
    </row>
    <row r="9">
      <c r="B9" t="inlineStr">
        <is>
          <t>KW順位からの流入ポテンシャル</t>
        </is>
      </c>
      <c r="C9" s="32" t="n">
        <v>1.48</v>
      </c>
      <c r="D9" s="2" t="inlineStr">
        <is>
          <t>追跡506KW中155KWが200位以内。CTRカーブ推定で現状1,799クリック/月→順位1段改善で2,657クリック/月</t>
        </is>
      </c>
    </row>
    <row r="11">
      <c r="B11" s="20" t="inlineStr">
        <is>
          <t>シナリオ別パラメータ（シミュレーションシートのドロップダウンと連動）</t>
        </is>
      </c>
      <c r="C11" s="21" t="n"/>
      <c r="D11" s="21" t="n"/>
      <c r="E11" s="21" t="n"/>
      <c r="F11" s="21" t="n"/>
    </row>
    <row r="12">
      <c r="B12" s="8" t="inlineStr">
        <is>
          <t>シナリオ</t>
        </is>
      </c>
      <c r="C12" s="8" t="inlineStr">
        <is>
          <t>訪問数成長率/月</t>
        </is>
      </c>
      <c r="D12" s="8" t="inlineStr">
        <is>
          <t>CVR</t>
        </is>
      </c>
      <c r="E12" s="8" t="inlineStr">
        <is>
          <t>平均購入単価</t>
        </is>
      </c>
      <c r="F12" s="8" t="inlineStr">
        <is>
          <t>根拠</t>
        </is>
      </c>
    </row>
    <row r="13">
      <c r="B13" s="10" t="inlineStr">
        <is>
          <t>保守</t>
        </is>
      </c>
      <c r="C13" s="25" t="n">
        <v>0.01</v>
      </c>
      <c r="D13" s="19" t="n">
        <v>0.00045</v>
      </c>
      <c r="E13" s="16" t="n">
        <v>12000</v>
      </c>
      <c r="F13" s="33" t="inlineStr">
        <is>
          <t>成長が鈍化しCVRは信頼区間の下限で推移</t>
        </is>
      </c>
    </row>
    <row r="14">
      <c r="B14" s="10" t="inlineStr">
        <is>
          <t>標準</t>
        </is>
      </c>
      <c r="C14" s="25" t="n">
        <v>0.025</v>
      </c>
      <c r="D14" s="19" t="n">
        <v>0.00065</v>
      </c>
      <c r="E14" s="16" t="n">
        <v>14000</v>
      </c>
      <c r="F14" s="33" t="inlineStr">
        <is>
          <t>直近実績の成長率+施策効果、CVR・単価は実測値を維持</t>
        </is>
      </c>
    </row>
    <row r="15">
      <c r="B15" s="10" t="inlineStr">
        <is>
          <t>強気</t>
        </is>
      </c>
      <c r="C15" s="25" t="n">
        <v>0.05</v>
      </c>
      <c r="D15" s="19" t="n">
        <v>0.0009</v>
      </c>
      <c r="E15" s="16" t="n">
        <v>15000</v>
      </c>
      <c r="F15" s="33" t="inlineStr">
        <is>
          <t>KW順位改善(+48%流入余地)とCVR改善施策が奏功、CVRは信頼区間上限</t>
        </is>
      </c>
    </row>
    <row r="16">
      <c r="B16" s="10" t="inlineStr">
        <is>
          <t>カスタム</t>
        </is>
      </c>
      <c r="C16" s="25" t="n">
        <v>0.03</v>
      </c>
      <c r="D16" s="19" t="n">
        <v>0.0007</v>
      </c>
      <c r="E16" s="16" t="n">
        <v>14000</v>
      </c>
      <c r="F16" s="33" t="inlineStr">
        <is>
          <t>自由に編集してください</t>
        </is>
      </c>
    </row>
    <row r="18">
      <c r="B18" s="20" t="inlineStr">
        <is>
          <t>料金プラン（シミュレーションシートのドロップダウンと連動）</t>
        </is>
      </c>
      <c r="C18" s="21" t="n"/>
      <c r="D18" s="21" t="n"/>
      <c r="E18" s="21" t="n"/>
      <c r="F18" s="21" t="n"/>
    </row>
    <row r="19">
      <c r="B19" s="8" t="inlineStr">
        <is>
          <t>プラン</t>
        </is>
      </c>
      <c r="C19" s="8" t="inlineStr">
        <is>
          <t>月額固定費</t>
        </is>
      </c>
      <c r="D19" s="8" t="inlineStr">
        <is>
          <t>売上レベシェア</t>
        </is>
      </c>
      <c r="E19" s="8" t="inlineStr">
        <is>
          <t>粗利レベシェア</t>
        </is>
      </c>
      <c r="F19" s="8" t="inlineStr">
        <is>
          <t>備考</t>
        </is>
      </c>
    </row>
    <row r="20">
      <c r="B20" s="10" t="inlineStr">
        <is>
          <t>現行（月額55,000円）</t>
        </is>
      </c>
      <c r="C20" s="16" t="n">
        <v>55000</v>
      </c>
      <c r="D20" s="25" t="n">
        <v>0</v>
      </c>
      <c r="E20" s="25" t="n">
        <v>0</v>
      </c>
      <c r="F20" s="33" t="inlineStr">
        <is>
          <t>現行契約</t>
        </is>
      </c>
    </row>
    <row r="21">
      <c r="B21" s="10" t="inlineStr">
        <is>
          <t>提案（月額88,000円+売上5%）</t>
        </is>
      </c>
      <c r="C21" s="16" t="n">
        <v>88000</v>
      </c>
      <c r="D21" s="25" t="n">
        <v>0.05</v>
      </c>
      <c r="E21" s="25" t="n">
        <v>0</v>
      </c>
      <c r="F21" s="33" t="inlineStr">
        <is>
          <t>20260629シート記載の提案プラン</t>
        </is>
      </c>
    </row>
    <row r="22">
      <c r="B22" s="10" t="inlineStr">
        <is>
          <t>希望（粗利レベシェア50%）</t>
        </is>
      </c>
      <c r="C22" s="16" t="n">
        <v>0</v>
      </c>
      <c r="D22" s="25" t="n">
        <v>0</v>
      </c>
      <c r="E22" s="25" t="n">
        <v>0.5</v>
      </c>
      <c r="F22" s="33" t="inlineStr">
        <is>
          <t>クライアント希望案。固定費ゼロ</t>
        </is>
      </c>
    </row>
    <row r="23">
      <c r="B23" s="10" t="inlineStr">
        <is>
          <t>カスタム</t>
        </is>
      </c>
      <c r="C23" s="16" t="n">
        <v>55000</v>
      </c>
      <c r="D23" s="25" t="n">
        <v>0</v>
      </c>
      <c r="E23" s="25" t="n">
        <v>0</v>
      </c>
      <c r="F23" s="33" t="inlineStr">
        <is>
          <t>自由に編集してください</t>
        </is>
      </c>
    </row>
    <row r="25">
      <c r="B25" s="3" t="inlineStr">
        <is>
          <t>【手法】</t>
        </is>
      </c>
    </row>
    <row r="26">
      <c r="B26" s="2" t="inlineStr">
        <is>
          <t>・予測式: 訪問数[t] = 訪問数[t-1] × (1+成長率) / 注文数 = 訪問数 × CVR / 売上 = 注文数 × 平均単価 / 粗利 = 売上 × 粗利率</t>
        </is>
      </c>
    </row>
    <row r="27">
      <c r="B27" s="2" t="inlineStr">
        <is>
          <t>・モンテカルロ: 注文数〜Poisson(訪問数×CVR)、注文単価〜対数正規（実測月次単価にフィット）、各月2万回試行</t>
        </is>
      </c>
    </row>
    <row r="28">
      <c r="B28" s="2" t="inlineStr">
        <is>
          <t>・注文数が月3〜5件と少なくCVR推定の不確実性が大きいため、点推定ではなくP10〜P90のレンジで併記</t>
        </is>
      </c>
    </row>
    <row r="29">
      <c r="B29" s="2" t="inlineStr"/>
    </row>
    <row r="30">
      <c r="B30" s="3" t="inlineStr">
        <is>
          <t>【元シミュレーションからの主な変更点】</t>
        </is>
      </c>
    </row>
    <row r="31">
      <c r="B31" s="2" t="inlineStr">
        <is>
          <t>・CVR想定 0.10%→0.15% は実測95%信頼区間（0.044%〜0.093%）を大きく超えるため、実測ベースに補正</t>
        </is>
      </c>
    </row>
    <row r="32">
      <c r="B32" s="2" t="inlineStr">
        <is>
          <t>・平均単価 ¥13,000 → 実測 ¥14,141 ベースに更新（¥14,000）</t>
        </is>
      </c>
    </row>
    <row r="33">
      <c r="B33" s="2" t="inlineStr">
        <is>
          <t>・粗利率 50% → 実測 49.0%</t>
        </is>
      </c>
    </row>
    <row r="34">
      <c r="B34" s="2" t="inlineStr">
        <is>
          <t>・トラフィック成長 110%/月 は直近実測（+2.0%/月）と乖離が大きいため、シナリオ別に 1%/2.5%/5% に補正</t>
        </is>
      </c>
    </row>
    <row r="35">
      <c r="B35" s="2" t="inlineStr"/>
    </row>
    <row r="36">
      <c r="B36" s="3" t="inlineStr">
        <is>
          <t>【注意事項】</t>
        </is>
      </c>
    </row>
    <row r="37">
      <c r="B37" s="2" t="inlineStr">
        <is>
          <t>※本数値は現時点の実績（注文27件）をもとに算出した概算シミュレーションです。</t>
        </is>
      </c>
    </row>
    <row r="38">
      <c r="B38" s="2" t="inlineStr">
        <is>
          <t>※注文数のサンプルが少ないため、実際の売上は月次でP10〜P90レンジ程度の振れが想定されます。</t>
        </is>
      </c>
    </row>
    <row r="39">
      <c r="B39" s="2" t="inlineStr">
        <is>
          <t>※実際の売上推移や成果は、運営状況・季節性・外部環境等の影響を受ける可能性があります。</t>
        </is>
      </c>
    </row>
    <row r="40">
      <c r="B40" s="2" t="inlineStr">
        <is>
          <t>※今後の方向性や検討材料の一つとしてご参照いただくことを目的とした資料です。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2026-07-02T08:15:04Z</dcterms:created>
  <dcterms:modified xsi:type="dcterms:W3CDTF">2026-07-02T08:15:04Z</dcterms:modified>
</cp:coreProperties>
</file>