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シミュレーション（改訂版）" sheetId="1" state="visible" r:id="rId1"/>
    <sheet name="前提条件・根拠" sheetId="2" state="visible" r:id="rId2"/>
    <sheet name="実績データ" sheetId="3" state="visible" r:id="rId3"/>
  </sheets>
  <definedNames/>
  <calcPr calcId="124519" fullCalcOnLoad="1"/>
</workbook>
</file>

<file path=xl/styles.xml><?xml version="1.0" encoding="utf-8"?>
<styleSheet xmlns="http://schemas.openxmlformats.org/spreadsheetml/2006/main">
  <numFmts count="4">
    <numFmt numFmtId="164" formatCode="0.0000%"/>
    <numFmt numFmtId="165" formatCode="0.0%"/>
    <numFmt numFmtId="166" formatCode="#,##0;[Red]-#,##0"/>
    <numFmt numFmtId="167" formatCode="0.0"/>
  </numFmts>
  <fonts count="7">
    <font>
      <name val="Calibri"/>
      <family val="2"/>
      <color theme="1"/>
      <sz val="11"/>
      <scheme val="minor"/>
    </font>
    <font>
      <name val="Yu Gothic"/>
      <b val="1"/>
      <color rgb="000B0B0B"/>
      <sz val="14"/>
    </font>
    <font>
      <name val="Yu Gothic"/>
      <color rgb="0052514E"/>
      <sz val="9"/>
    </font>
    <font>
      <name val="Yu Gothic"/>
      <b val="1"/>
      <color rgb="00FFFFFF"/>
      <sz val="9"/>
    </font>
    <font>
      <name val="Yu Gothic"/>
      <b val="1"/>
      <color rgb="000B0B0B"/>
      <sz val="9"/>
    </font>
    <font>
      <name val="Yu Gothic"/>
      <color rgb="000B0B0B"/>
      <sz val="9"/>
    </font>
    <font>
      <name val="Yu Gothic"/>
      <color rgb="00898781"/>
      <sz val="8"/>
    </font>
  </fonts>
  <fills count="7">
    <fill>
      <patternFill/>
    </fill>
    <fill>
      <patternFill patternType="gray125"/>
    </fill>
    <fill>
      <patternFill patternType="solid">
        <fgColor rgb="0052514E"/>
      </patternFill>
    </fill>
    <fill>
      <patternFill patternType="solid">
        <fgColor rgb="002A78D6"/>
      </patternFill>
    </fill>
    <fill>
      <patternFill patternType="solid">
        <fgColor rgb="00F0EFEC"/>
      </patternFill>
    </fill>
    <fill>
      <patternFill patternType="solid">
        <fgColor rgb="00E8F0FB"/>
      </patternFill>
    </fill>
    <fill>
      <patternFill patternType="solid">
        <fgColor rgb="00FCF6E8"/>
      </patternFill>
    </fill>
  </fills>
  <borders count="2">
    <border>
      <left/>
      <right/>
      <top/>
      <bottom/>
      <diagonal/>
    </border>
    <border>
      <left style="thin">
        <color rgb="00E1E0D9"/>
      </left>
      <right style="thin">
        <color rgb="00E1E0D9"/>
      </right>
      <top style="thin">
        <color rgb="00E1E0D9"/>
      </top>
      <bottom style="thin">
        <color rgb="00E1E0D9"/>
      </bottom>
    </border>
  </borders>
  <cellStyleXfs count="1">
    <xf numFmtId="0" fontId="0" fillId="0" borderId="0"/>
  </cellStyleXfs>
  <cellXfs count="34">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1" applyAlignment="1" pivotButton="0" quotePrefix="0" xfId="0">
      <alignment horizontal="center" vertical="center"/>
    </xf>
    <xf numFmtId="0" fontId="3" fillId="3" borderId="1" applyAlignment="1" pivotButton="0" quotePrefix="0" xfId="0">
      <alignment horizontal="center" vertical="center"/>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5" fillId="0" borderId="1" applyAlignment="1" pivotButton="0" quotePrefix="0" xfId="0">
      <alignment horizontal="left" vertical="center" wrapText="1"/>
    </xf>
    <xf numFmtId="3" fontId="5" fillId="0" borderId="1" applyAlignment="1" pivotButton="0" quotePrefix="0" xfId="0">
      <alignment horizontal="center" vertical="center"/>
    </xf>
    <xf numFmtId="0" fontId="6" fillId="0" borderId="1" applyAlignment="1" pivotButton="0" quotePrefix="0" xfId="0">
      <alignment horizontal="center" vertical="center"/>
    </xf>
    <xf numFmtId="165" fontId="5" fillId="6" borderId="1" applyAlignment="1" pivotButton="0" quotePrefix="0" xfId="0">
      <alignment horizontal="center" vertical="center"/>
    </xf>
    <xf numFmtId="164" fontId="5" fillId="0" borderId="1" applyAlignment="1" pivotButton="0" quotePrefix="0" xfId="0">
      <alignment horizontal="center" vertical="center"/>
    </xf>
    <xf numFmtId="164" fontId="5" fillId="6" borderId="1" applyAlignment="1" pivotButton="0" quotePrefix="0" xfId="0">
      <alignment horizontal="center" vertical="center"/>
    </xf>
    <xf numFmtId="1" fontId="5" fillId="0" borderId="1" applyAlignment="1" pivotButton="0" quotePrefix="0" xfId="0">
      <alignment horizontal="center" vertical="center"/>
    </xf>
    <xf numFmtId="167" fontId="5" fillId="0" borderId="1" applyAlignment="1" pivotButton="0" quotePrefix="0" xfId="0">
      <alignment horizontal="center" vertical="center"/>
    </xf>
    <xf numFmtId="3" fontId="5" fillId="6" borderId="1" applyAlignment="1" pivotButton="0" quotePrefix="0" xfId="0">
      <alignment horizontal="center" vertical="center"/>
    </xf>
    <xf numFmtId="0" fontId="4" fillId="0" borderId="1" applyAlignment="1" pivotButton="0" quotePrefix="0" xfId="0">
      <alignment horizontal="left" vertical="center" wrapText="1"/>
    </xf>
    <xf numFmtId="3" fontId="4" fillId="0" borderId="1" applyAlignment="1" pivotButton="0" quotePrefix="0" xfId="0">
      <alignment horizontal="center" vertical="center"/>
    </xf>
    <xf numFmtId="165" fontId="5" fillId="0" borderId="1" applyAlignment="1" pivotButton="0" quotePrefix="0" xfId="0">
      <alignment horizontal="center" vertical="center"/>
    </xf>
    <xf numFmtId="166" fontId="4" fillId="0" borderId="1" applyAlignment="1" pivotButton="0" quotePrefix="0" xfId="0">
      <alignment horizontal="center" vertical="center"/>
    </xf>
    <xf numFmtId="166" fontId="5" fillId="0" borderId="1" applyAlignment="1" pivotButton="0" quotePrefix="0" xfId="0">
      <alignment horizontal="center" vertical="center"/>
    </xf>
    <xf numFmtId="0" fontId="5" fillId="0" borderId="1" applyAlignment="1" pivotButton="0" quotePrefix="0" xfId="0">
      <alignment horizontal="center" vertical="center"/>
    </xf>
    <xf numFmtId="9" fontId="5" fillId="0" borderId="1" applyAlignment="1" pivotButton="0" quotePrefix="0" xfId="0">
      <alignment horizontal="center" vertical="center"/>
    </xf>
    <xf numFmtId="0" fontId="6" fillId="0" borderId="0" applyAlignment="1" pivotButton="0" quotePrefix="0" xfId="0">
      <alignment horizontal="left" vertical="center" wrapText="1"/>
    </xf>
    <xf numFmtId="3" fontId="4" fillId="5" borderId="1" applyAlignment="1" pivotButton="0" quotePrefix="0" xfId="0">
      <alignment horizontal="center" vertical="center"/>
    </xf>
    <xf numFmtId="9" fontId="4" fillId="5" borderId="1" applyAlignment="1" pivotButton="0" quotePrefix="0" xfId="0">
      <alignment horizontal="center" vertical="center"/>
    </xf>
    <xf numFmtId="166" fontId="4" fillId="5" borderId="1" applyAlignment="1" pivotButton="0" quotePrefix="0" xfId="0">
      <alignment horizontal="center" vertical="center"/>
    </xf>
    <xf numFmtId="3" fontId="6" fillId="0" borderId="0" applyAlignment="1" pivotButton="0" quotePrefix="0" xfId="0">
      <alignment horizontal="center" vertical="center"/>
    </xf>
    <xf numFmtId="0" fontId="3" fillId="2" borderId="1" applyAlignment="1" pivotButton="0" quotePrefix="0" xfId="0">
      <alignment horizontal="left" vertical="center" wrapText="1"/>
    </xf>
    <xf numFmtId="0" fontId="5" fillId="0" borderId="0" applyAlignment="1" pivotButton="0" quotePrefix="0" xfId="0">
      <alignment horizontal="left" vertical="center" wrapText="1"/>
    </xf>
    <xf numFmtId="0" fontId="4" fillId="0" borderId="1" applyAlignment="1" pivotButton="0" quotePrefix="0" xfId="0">
      <alignment horizontal="center" vertical="center"/>
    </xf>
    <xf numFmtId="1" fontId="4" fillId="0" borderId="1" applyAlignment="1" pivotButton="0" quotePrefix="0" xfId="0">
      <alignment horizontal="center" vertical="center"/>
    </xf>
    <xf numFmtId="164" fontId="4" fillId="0" borderId="1" applyAlignment="1" pivotButton="0" quotePrefix="0" xfId="0">
      <alignment horizontal="center" vertical="center"/>
    </xf>
    <xf numFmtId="165" fontId="4"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売上・粗利の実績と予測（標準シナリオ）</a:t>
            </a:r>
          </a:p>
        </rich>
      </tx>
    </title>
    <plotArea>
      <lineChart>
        <grouping val="standard"/>
        <ser>
          <idx val="0"/>
          <order val="0"/>
          <tx>
            <v>売上（実績）</v>
          </tx>
          <spPr>
            <a:ln w="19050">
              <a:solidFill>
                <a:srgbClr val="2A78D6"/>
              </a:solidFill>
              <a:prstDash val="solid"/>
            </a:ln>
          </spPr>
          <marker>
            <symbol val="none"/>
            <spPr>
              <a:ln>
                <a:prstDash val="solid"/>
              </a:ln>
            </spPr>
          </marker>
          <cat>
            <numRef>
              <f>'シミュレーション（改訂版）'!$C$4:$T$4</f>
            </numRef>
          </cat>
          <val>
            <numRef>
              <f>'シミュレーション（改訂版）'!$C$31:$T$31</f>
            </numRef>
          </val>
          <smooth val="0"/>
        </ser>
        <ser>
          <idx val="1"/>
          <order val="1"/>
          <tx>
            <v>売上（予測）</v>
          </tx>
          <spPr>
            <a:ln w="19050">
              <a:solidFill>
                <a:srgbClr val="2A78D6"/>
              </a:solidFill>
              <a:prstDash val="dash"/>
            </a:ln>
          </spPr>
          <marker>
            <symbol val="none"/>
            <spPr>
              <a:ln>
                <a:prstDash val="solid"/>
              </a:ln>
            </spPr>
          </marker>
          <cat>
            <numRef>
              <f>'シミュレーション（改訂版）'!$C$4:$T$4</f>
            </numRef>
          </cat>
          <val>
            <numRef>
              <f>'シミュレーション（改訂版）'!$C$32:$T$32</f>
            </numRef>
          </val>
          <smooth val="0"/>
        </ser>
        <ser>
          <idx val="2"/>
          <order val="2"/>
          <tx>
            <v>粗利（実績）</v>
          </tx>
          <spPr>
            <a:ln w="19050">
              <a:solidFill>
                <a:srgbClr val="1BAF7A"/>
              </a:solidFill>
              <a:prstDash val="solid"/>
            </a:ln>
          </spPr>
          <marker>
            <symbol val="none"/>
            <spPr>
              <a:ln>
                <a:prstDash val="solid"/>
              </a:ln>
            </spPr>
          </marker>
          <cat>
            <numRef>
              <f>'シミュレーション（改訂版）'!$C$4:$T$4</f>
            </numRef>
          </cat>
          <val>
            <numRef>
              <f>'シミュレーション（改訂版）'!$C$33:$T$33</f>
            </numRef>
          </val>
          <smooth val="0"/>
        </ser>
        <ser>
          <idx val="3"/>
          <order val="3"/>
          <tx>
            <v>粗利（予測）</v>
          </tx>
          <spPr>
            <a:ln w="19050">
              <a:solidFill>
                <a:srgbClr val="1BAF7A"/>
              </a:solidFill>
              <a:prstDash val="dash"/>
            </a:ln>
          </spPr>
          <marker>
            <symbol val="none"/>
            <spPr>
              <a:ln>
                <a:prstDash val="solid"/>
              </a:ln>
            </spPr>
          </marker>
          <cat>
            <numRef>
              <f>'シミュレーション（改訂版）'!$C$4:$T$4</f>
            </numRef>
          </cat>
          <val>
            <numRef>
              <f>'シミュレーション（改訂版）'!$C$34:$T$34</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35</row>
      <rowOff>0</rowOff>
    </from>
    <ext cx="1080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1:T34"/>
  <sheetViews>
    <sheetView showGridLines="0" workbookViewId="0">
      <selection activeCell="A1" sqref="A1"/>
    </sheetView>
  </sheetViews>
  <sheetFormatPr baseColWidth="8" defaultRowHeight="15"/>
  <cols>
    <col width="2" customWidth="1" min="1" max="1"/>
    <col width="24" customWidth="1" min="2" max="2"/>
    <col width="10.5"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s>
  <sheetData>
    <row r="1">
      <c r="B1" s="1" t="inlineStr">
        <is>
          <t>armtechstore.jp 収益シミュレーション（2026年7月 改訂版）</t>
        </is>
      </c>
    </row>
    <row r="2">
      <c r="B2" s="2" t="inlineStr">
        <is>
          <t>根拠: 2025/07〜2026/06 実績12ヶ月（Fulmo月次レポート）。予測列は数式連動 — 黄色セル（成長率・CVR・単価・粗利率・月額費用）を書き換えると全体が再計算されます。</t>
        </is>
      </c>
    </row>
    <row r="3">
      <c r="C3" s="3" t="inlineStr">
        <is>
          <t>実績（2026年上半期）</t>
        </is>
      </c>
      <c r="D3" s="3" t="n"/>
      <c r="E3" s="3" t="n"/>
      <c r="F3" s="3" t="n"/>
      <c r="G3" s="3" t="n"/>
      <c r="H3" s="3" t="n"/>
      <c r="I3" s="4" t="inlineStr">
        <is>
          <t>予測（標準シナリオ・数式連動）</t>
        </is>
      </c>
      <c r="J3" s="4" t="n"/>
      <c r="K3" s="4" t="n"/>
      <c r="L3" s="4" t="n"/>
      <c r="M3" s="4" t="n"/>
      <c r="N3" s="4" t="n"/>
      <c r="O3" s="4" t="n"/>
      <c r="P3" s="4" t="n"/>
      <c r="Q3" s="4" t="n"/>
      <c r="R3" s="4" t="n"/>
      <c r="S3" s="4" t="n"/>
      <c r="T3" s="4" t="n"/>
    </row>
    <row r="4">
      <c r="C4" s="5" t="inlineStr">
        <is>
          <t>2026/01</t>
        </is>
      </c>
      <c r="D4" s="5" t="inlineStr">
        <is>
          <t>2026/02</t>
        </is>
      </c>
      <c r="E4" s="5" t="inlineStr">
        <is>
          <t>2026/03</t>
        </is>
      </c>
      <c r="F4" s="5" t="inlineStr">
        <is>
          <t>2026/04</t>
        </is>
      </c>
      <c r="G4" s="5" t="inlineStr">
        <is>
          <t>2026/05</t>
        </is>
      </c>
      <c r="H4" s="5" t="inlineStr">
        <is>
          <t>2026/06</t>
        </is>
      </c>
      <c r="I4" s="6" t="inlineStr">
        <is>
          <t>2026/07</t>
        </is>
      </c>
      <c r="J4" s="6" t="inlineStr">
        <is>
          <t>2026/08</t>
        </is>
      </c>
      <c r="K4" s="6" t="inlineStr">
        <is>
          <t>2026/09</t>
        </is>
      </c>
      <c r="L4" s="6" t="inlineStr">
        <is>
          <t>2026/10</t>
        </is>
      </c>
      <c r="M4" s="6" t="inlineStr">
        <is>
          <t>2026/11</t>
        </is>
      </c>
      <c r="N4" s="6" t="inlineStr">
        <is>
          <t>2026/12</t>
        </is>
      </c>
      <c r="O4" s="6" t="inlineStr">
        <is>
          <t>2027/01</t>
        </is>
      </c>
      <c r="P4" s="6" t="inlineStr">
        <is>
          <t>2027/02</t>
        </is>
      </c>
      <c r="Q4" s="6" t="inlineStr">
        <is>
          <t>2027/03</t>
        </is>
      </c>
      <c r="R4" s="6" t="inlineStr">
        <is>
          <t>2027/04</t>
        </is>
      </c>
      <c r="S4" s="6" t="inlineStr">
        <is>
          <t>2027/05</t>
        </is>
      </c>
      <c r="T4" s="6" t="inlineStr">
        <is>
          <t>2027/06</t>
        </is>
      </c>
    </row>
    <row r="5">
      <c r="B5" s="7" t="inlineStr">
        <is>
          <t>サイト訪問数</t>
        </is>
      </c>
      <c r="C5" s="8" t="n">
        <v>5241</v>
      </c>
      <c r="D5" s="8" t="n">
        <v>5108</v>
      </c>
      <c r="E5" s="8" t="n">
        <v>7363</v>
      </c>
      <c r="F5" s="8" t="n">
        <v>6053</v>
      </c>
      <c r="G5" s="8" t="n">
        <v>5780</v>
      </c>
      <c r="H5" s="8" t="n">
        <v>5797</v>
      </c>
      <c r="I5" s="8">
        <f>ROUND(AVERAGE(F5:H5)*(1+I6),0)</f>
        <v/>
      </c>
      <c r="J5" s="8">
        <f>ROUND(I5*(1+J6),0)</f>
        <v/>
      </c>
      <c r="K5" s="8">
        <f>ROUND(J5*(1+K6),0)</f>
        <v/>
      </c>
      <c r="L5" s="8">
        <f>ROUND(K5*(1+L6),0)</f>
        <v/>
      </c>
      <c r="M5" s="8">
        <f>ROUND(L5*(1+M6),0)</f>
        <v/>
      </c>
      <c r="N5" s="8">
        <f>ROUND(M5*(1+N6),0)</f>
        <v/>
      </c>
      <c r="O5" s="8">
        <f>ROUND(N5*(1+O6),0)</f>
        <v/>
      </c>
      <c r="P5" s="8">
        <f>ROUND(O5*(1+P6),0)</f>
        <v/>
      </c>
      <c r="Q5" s="8">
        <f>ROUND(P5*(1+Q6),0)</f>
        <v/>
      </c>
      <c r="R5" s="8">
        <f>ROUND(Q5*(1+R6),0)</f>
        <v/>
      </c>
      <c r="S5" s="8">
        <f>ROUND(R5*(1+S6),0)</f>
        <v/>
      </c>
      <c r="T5" s="8">
        <f>ROUND(S5*(1+T6),0)</f>
        <v/>
      </c>
    </row>
    <row r="6">
      <c r="B6" s="7" t="inlineStr">
        <is>
          <t xml:space="preserve">　訪問数成長率（前提）</t>
        </is>
      </c>
      <c r="C6" s="9" t="n"/>
      <c r="D6" s="9" t="n"/>
      <c r="E6" s="9" t="n"/>
      <c r="F6" s="9" t="n"/>
      <c r="G6" s="9" t="n"/>
      <c r="H6" s="9" t="n"/>
      <c r="I6" s="10" t="n">
        <v>0.05</v>
      </c>
      <c r="J6" s="10" t="n">
        <v>0.05</v>
      </c>
      <c r="K6" s="10" t="n">
        <v>0.05</v>
      </c>
      <c r="L6" s="10" t="n">
        <v>0.05</v>
      </c>
      <c r="M6" s="10" t="n">
        <v>0.05</v>
      </c>
      <c r="N6" s="10" t="n">
        <v>0.05</v>
      </c>
      <c r="O6" s="10" t="n">
        <v>0.03</v>
      </c>
      <c r="P6" s="10" t="n">
        <v>0.03</v>
      </c>
      <c r="Q6" s="10" t="n">
        <v>0.03</v>
      </c>
      <c r="R6" s="10" t="n">
        <v>0.03</v>
      </c>
      <c r="S6" s="10" t="n">
        <v>0.03</v>
      </c>
      <c r="T6" s="10" t="n">
        <v>0.03</v>
      </c>
    </row>
    <row r="7">
      <c r="B7" s="7" t="inlineStr">
        <is>
          <t>CVR</t>
        </is>
      </c>
      <c r="C7" s="11">
        <f>IFERROR(C8/C5,"")</f>
        <v/>
      </c>
      <c r="D7" s="11">
        <f>IFERROR(D8/D5,"")</f>
        <v/>
      </c>
      <c r="E7" s="11">
        <f>IFERROR(E8/E5,"")</f>
        <v/>
      </c>
      <c r="F7" s="11">
        <f>IFERROR(F8/F5,"")</f>
        <v/>
      </c>
      <c r="G7" s="11">
        <f>IFERROR(G8/G5,"")</f>
        <v/>
      </c>
      <c r="H7" s="11">
        <f>IFERROR(H8/H5,"")</f>
        <v/>
      </c>
      <c r="I7" s="12" t="n">
        <v>0.0007208</v>
      </c>
      <c r="J7" s="12" t="n">
        <v>0.0007417</v>
      </c>
      <c r="K7" s="12" t="n">
        <v>0.0007625</v>
      </c>
      <c r="L7" s="12" t="n">
        <v>0.0007833</v>
      </c>
      <c r="M7" s="12" t="n">
        <v>0.0008042</v>
      </c>
      <c r="N7" s="12" t="n">
        <v>0.000825</v>
      </c>
      <c r="O7" s="12" t="n">
        <v>0.0008458</v>
      </c>
      <c r="P7" s="12" t="n">
        <v>0.0008667</v>
      </c>
      <c r="Q7" s="12" t="n">
        <v>0.0008875000000000001</v>
      </c>
      <c r="R7" s="12" t="n">
        <v>0.0009083</v>
      </c>
      <c r="S7" s="12" t="n">
        <v>0.0009292</v>
      </c>
      <c r="T7" s="12" t="n">
        <v>0.00095</v>
      </c>
    </row>
    <row r="8">
      <c r="B8" s="7" t="inlineStr">
        <is>
          <t>注文数（期待値）</t>
        </is>
      </c>
      <c r="C8" s="13" t="n">
        <v>4</v>
      </c>
      <c r="D8" s="13" t="n">
        <v>3</v>
      </c>
      <c r="E8" s="13" t="n">
        <v>3</v>
      </c>
      <c r="F8" s="13" t="n">
        <v>5</v>
      </c>
      <c r="G8" s="13" t="n">
        <v>3</v>
      </c>
      <c r="H8" s="13" t="n">
        <v>5</v>
      </c>
      <c r="I8" s="14">
        <f>I5*I7</f>
        <v/>
      </c>
      <c r="J8" s="14">
        <f>J5*J7</f>
        <v/>
      </c>
      <c r="K8" s="14">
        <f>K5*K7</f>
        <v/>
      </c>
      <c r="L8" s="14">
        <f>L5*L7</f>
        <v/>
      </c>
      <c r="M8" s="14">
        <f>M5*M7</f>
        <v/>
      </c>
      <c r="N8" s="14">
        <f>N5*N7</f>
        <v/>
      </c>
      <c r="O8" s="14">
        <f>O5*O7</f>
        <v/>
      </c>
      <c r="P8" s="14">
        <f>P5*P7</f>
        <v/>
      </c>
      <c r="Q8" s="14">
        <f>Q5*Q7</f>
        <v/>
      </c>
      <c r="R8" s="14">
        <f>R5*R7</f>
        <v/>
      </c>
      <c r="S8" s="14">
        <f>S5*S7</f>
        <v/>
      </c>
      <c r="T8" s="14">
        <f>T5*T7</f>
        <v/>
      </c>
    </row>
    <row r="9">
      <c r="B9" s="7" t="inlineStr">
        <is>
          <t>平均購入単価</t>
        </is>
      </c>
      <c r="C9" s="8">
        <f>IFERROR(ROUND(C10/C8,0),"")</f>
        <v/>
      </c>
      <c r="D9" s="8">
        <f>IFERROR(ROUND(D10/D8,0),"")</f>
        <v/>
      </c>
      <c r="E9" s="8">
        <f>IFERROR(ROUND(E10/E8,0),"")</f>
        <v/>
      </c>
      <c r="F9" s="8">
        <f>IFERROR(ROUND(F10/F8,0),"")</f>
        <v/>
      </c>
      <c r="G9" s="8">
        <f>IFERROR(ROUND(G10/G8,0),"")</f>
        <v/>
      </c>
      <c r="H9" s="8">
        <f>IFERROR(ROUND(H10/H8,0),"")</f>
        <v/>
      </c>
      <c r="I9" s="15" t="n">
        <v>14000</v>
      </c>
      <c r="J9" s="15" t="n">
        <v>14000</v>
      </c>
      <c r="K9" s="15" t="n">
        <v>14000</v>
      </c>
      <c r="L9" s="15" t="n">
        <v>14000</v>
      </c>
      <c r="M9" s="15" t="n">
        <v>14000</v>
      </c>
      <c r="N9" s="15" t="n">
        <v>14000</v>
      </c>
      <c r="O9" s="15" t="n">
        <v>14000</v>
      </c>
      <c r="P9" s="15" t="n">
        <v>14000</v>
      </c>
      <c r="Q9" s="15" t="n">
        <v>14000</v>
      </c>
      <c r="R9" s="15" t="n">
        <v>14000</v>
      </c>
      <c r="S9" s="15" t="n">
        <v>14000</v>
      </c>
      <c r="T9" s="15" t="n">
        <v>14000</v>
      </c>
    </row>
    <row r="10">
      <c r="B10" s="16" t="inlineStr">
        <is>
          <t>売上</t>
        </is>
      </c>
      <c r="C10" s="17" t="n">
        <v>54220</v>
      </c>
      <c r="D10" s="17" t="n">
        <v>26160</v>
      </c>
      <c r="E10" s="17" t="n">
        <v>23890</v>
      </c>
      <c r="F10" s="17" t="n">
        <v>115980</v>
      </c>
      <c r="G10" s="17" t="n">
        <v>36060</v>
      </c>
      <c r="H10" s="17" t="n">
        <v>72840</v>
      </c>
      <c r="I10" s="17">
        <f>ROUND(I8*I9,0)</f>
        <v/>
      </c>
      <c r="J10" s="17">
        <f>ROUND(J8*J9,0)</f>
        <v/>
      </c>
      <c r="K10" s="17">
        <f>ROUND(K8*K9,0)</f>
        <v/>
      </c>
      <c r="L10" s="17">
        <f>ROUND(L8*L9,0)</f>
        <v/>
      </c>
      <c r="M10" s="17">
        <f>ROUND(M8*M9,0)</f>
        <v/>
      </c>
      <c r="N10" s="17">
        <f>ROUND(N8*N9,0)</f>
        <v/>
      </c>
      <c r="O10" s="17">
        <f>ROUND(O8*O9,0)</f>
        <v/>
      </c>
      <c r="P10" s="17">
        <f>ROUND(P8*P9,0)</f>
        <v/>
      </c>
      <c r="Q10" s="17">
        <f>ROUND(Q8*Q9,0)</f>
        <v/>
      </c>
      <c r="R10" s="17">
        <f>ROUND(R8*R9,0)</f>
        <v/>
      </c>
      <c r="S10" s="17">
        <f>ROUND(S8*S9,0)</f>
        <v/>
      </c>
      <c r="T10" s="17">
        <f>ROUND(T8*T9,0)</f>
        <v/>
      </c>
    </row>
    <row r="11">
      <c r="B11" s="7" t="inlineStr">
        <is>
          <t>粗利率</t>
        </is>
      </c>
      <c r="C11" s="18">
        <f>IFERROR(C12/C10,"")</f>
        <v/>
      </c>
      <c r="D11" s="18">
        <f>IFERROR(D12/D10,"")</f>
        <v/>
      </c>
      <c r="E11" s="18">
        <f>IFERROR(E12/E10,"")</f>
        <v/>
      </c>
      <c r="F11" s="18">
        <f>IFERROR(F12/F10,"")</f>
        <v/>
      </c>
      <c r="G11" s="18">
        <f>IFERROR(G12/G10,"")</f>
        <v/>
      </c>
      <c r="H11" s="18">
        <f>IFERROR(H12/H10,"")</f>
        <v/>
      </c>
      <c r="I11" s="10" t="n">
        <v>0.49</v>
      </c>
      <c r="J11" s="10" t="n">
        <v>0.49</v>
      </c>
      <c r="K11" s="10" t="n">
        <v>0.49</v>
      </c>
      <c r="L11" s="10" t="n">
        <v>0.49</v>
      </c>
      <c r="M11" s="10" t="n">
        <v>0.49</v>
      </c>
      <c r="N11" s="10" t="n">
        <v>0.49</v>
      </c>
      <c r="O11" s="10" t="n">
        <v>0.49</v>
      </c>
      <c r="P11" s="10" t="n">
        <v>0.49</v>
      </c>
      <c r="Q11" s="10" t="n">
        <v>0.49</v>
      </c>
      <c r="R11" s="10" t="n">
        <v>0.49</v>
      </c>
      <c r="S11" s="10" t="n">
        <v>0.49</v>
      </c>
      <c r="T11" s="10" t="n">
        <v>0.49</v>
      </c>
    </row>
    <row r="12">
      <c r="B12" s="16" t="inlineStr">
        <is>
          <t>粗利</t>
        </is>
      </c>
      <c r="C12" s="17" t="n">
        <v>28630</v>
      </c>
      <c r="D12" s="17" t="n">
        <v>13080</v>
      </c>
      <c r="E12" s="17" t="n">
        <v>9223</v>
      </c>
      <c r="F12" s="17" t="n">
        <v>61116</v>
      </c>
      <c r="G12" s="17" t="n">
        <v>17530</v>
      </c>
      <c r="H12" s="17" t="n">
        <v>33200</v>
      </c>
      <c r="I12" s="17">
        <f>ROUND(I10*I11,0)</f>
        <v/>
      </c>
      <c r="J12" s="17">
        <f>ROUND(J10*J11,0)</f>
        <v/>
      </c>
      <c r="K12" s="17">
        <f>ROUND(K10*K11,0)</f>
        <v/>
      </c>
      <c r="L12" s="17">
        <f>ROUND(L10*L11,0)</f>
        <v/>
      </c>
      <c r="M12" s="17">
        <f>ROUND(M10*M11,0)</f>
        <v/>
      </c>
      <c r="N12" s="17">
        <f>ROUND(N10*N11,0)</f>
        <v/>
      </c>
      <c r="O12" s="17">
        <f>ROUND(O10*O11,0)</f>
        <v/>
      </c>
      <c r="P12" s="17">
        <f>ROUND(P10*P11,0)</f>
        <v/>
      </c>
      <c r="Q12" s="17">
        <f>ROUND(Q10*Q11,0)</f>
        <v/>
      </c>
      <c r="R12" s="17">
        <f>ROUND(R10*R11,0)</f>
        <v/>
      </c>
      <c r="S12" s="17">
        <f>ROUND(S10*S11,0)</f>
        <v/>
      </c>
      <c r="T12" s="17">
        <f>ROUND(T10*T11,0)</f>
        <v/>
      </c>
    </row>
    <row r="13">
      <c r="B13" s="7" t="inlineStr">
        <is>
          <t>月額費用</t>
        </is>
      </c>
      <c r="C13" s="8" t="n">
        <v>0</v>
      </c>
      <c r="D13" s="8" t="n">
        <v>0</v>
      </c>
      <c r="E13" s="8" t="n">
        <v>0</v>
      </c>
      <c r="F13" s="8" t="n">
        <v>0</v>
      </c>
      <c r="G13" s="8" t="n">
        <v>0</v>
      </c>
      <c r="H13" s="8" t="n">
        <v>0</v>
      </c>
      <c r="I13" s="15" t="n">
        <v>55000</v>
      </c>
      <c r="J13" s="15" t="n">
        <v>55000</v>
      </c>
      <c r="K13" s="15" t="n">
        <v>55000</v>
      </c>
      <c r="L13" s="15" t="n">
        <v>55000</v>
      </c>
      <c r="M13" s="15" t="n">
        <v>55000</v>
      </c>
      <c r="N13" s="15" t="n">
        <v>55000</v>
      </c>
      <c r="O13" s="15" t="n">
        <v>55000</v>
      </c>
      <c r="P13" s="15" t="n">
        <v>55000</v>
      </c>
      <c r="Q13" s="15" t="n">
        <v>55000</v>
      </c>
      <c r="R13" s="15" t="n">
        <v>55000</v>
      </c>
      <c r="S13" s="15" t="n">
        <v>55000</v>
      </c>
      <c r="T13" s="15" t="n">
        <v>55000</v>
      </c>
    </row>
    <row r="14">
      <c r="B14" s="16" t="inlineStr">
        <is>
          <t>粗利 − 月額費用</t>
        </is>
      </c>
      <c r="C14" s="19">
        <f>C12-C13</f>
        <v/>
      </c>
      <c r="D14" s="19">
        <f>D12-D13</f>
        <v/>
      </c>
      <c r="E14" s="19">
        <f>E12-E13</f>
        <v/>
      </c>
      <c r="F14" s="19">
        <f>F12-F13</f>
        <v/>
      </c>
      <c r="G14" s="19">
        <f>G12-G13</f>
        <v/>
      </c>
      <c r="H14" s="19">
        <f>H12-H13</f>
        <v/>
      </c>
      <c r="I14" s="19">
        <f>I12-I13</f>
        <v/>
      </c>
      <c r="J14" s="19">
        <f>J12-J13</f>
        <v/>
      </c>
      <c r="K14" s="19">
        <f>K12-K13</f>
        <v/>
      </c>
      <c r="L14" s="19">
        <f>L12-L13</f>
        <v/>
      </c>
      <c r="M14" s="19">
        <f>M12-M13</f>
        <v/>
      </c>
      <c r="N14" s="19">
        <f>N12-N13</f>
        <v/>
      </c>
      <c r="O14" s="19">
        <f>O12-O13</f>
        <v/>
      </c>
      <c r="P14" s="19">
        <f>P12-P13</f>
        <v/>
      </c>
      <c r="Q14" s="19">
        <f>Q12-Q13</f>
        <v/>
      </c>
      <c r="R14" s="19">
        <f>R12-R13</f>
        <v/>
      </c>
      <c r="S14" s="19">
        <f>S12-S13</f>
        <v/>
      </c>
      <c r="T14" s="19">
        <f>T12-T13</f>
        <v/>
      </c>
    </row>
    <row r="15">
      <c r="B15" s="7" t="inlineStr">
        <is>
          <t>累計（粗利−費用）</t>
        </is>
      </c>
      <c r="C15" s="9" t="n"/>
      <c r="D15" s="9" t="n"/>
      <c r="E15" s="9" t="n"/>
      <c r="F15" s="9" t="n"/>
      <c r="G15" s="9" t="n"/>
      <c r="H15" s="9" t="n"/>
      <c r="I15" s="20">
        <f>I14</f>
        <v/>
      </c>
      <c r="J15" s="20">
        <f>I15+J14</f>
        <v/>
      </c>
      <c r="K15" s="20">
        <f>J15+K14</f>
        <v/>
      </c>
      <c r="L15" s="20">
        <f>K15+L14</f>
        <v/>
      </c>
      <c r="M15" s="20">
        <f>L15+M14</f>
        <v/>
      </c>
      <c r="N15" s="20">
        <f>M15+N14</f>
        <v/>
      </c>
      <c r="O15" s="20">
        <f>N15+O14</f>
        <v/>
      </c>
      <c r="P15" s="20">
        <f>O15+P14</f>
        <v/>
      </c>
      <c r="Q15" s="20">
        <f>P15+Q14</f>
        <v/>
      </c>
      <c r="R15" s="20">
        <f>Q15+R14</f>
        <v/>
      </c>
      <c r="S15" s="20">
        <f>R15+S14</f>
        <v/>
      </c>
      <c r="T15" s="20">
        <f>S15+T14</f>
        <v/>
      </c>
    </row>
    <row r="18">
      <c r="B18" s="1" t="inlineStr">
        <is>
          <t>シナリオ比較（予測12ヶ月: 2026/07〜2027/06）</t>
        </is>
      </c>
    </row>
    <row r="19" ht="26" customHeight="1">
      <c r="B19" s="3" t="inlineStr">
        <is>
          <t>シナリオ</t>
        </is>
      </c>
      <c r="C19" s="3" t="inlineStr">
        <is>
          <t>訪問数成長/月</t>
        </is>
      </c>
      <c r="D19" s="3" t="inlineStr">
        <is>
          <t>CVR（開始→12ヶ月後）</t>
        </is>
      </c>
      <c r="E19" s="3" t="inlineStr">
        <is>
          <t>平均単価</t>
        </is>
      </c>
      <c r="F19" s="3" t="inlineStr">
        <is>
          <t>粗利率</t>
        </is>
      </c>
      <c r="G19" s="3" t="inlineStr">
        <is>
          <t>累計売上</t>
        </is>
      </c>
      <c r="H19" s="3" t="inlineStr">
        <is>
          <t>累計粗利</t>
        </is>
      </c>
      <c r="I19" s="3" t="inlineStr">
        <is>
          <t>2027/06 単月粗利</t>
        </is>
      </c>
      <c r="J19" s="3" t="inlineStr">
        <is>
          <t>粗利&gt;月額55,000</t>
        </is>
      </c>
      <c r="K19" s="3" t="inlineStr">
        <is>
          <t>累計（粗利−費用）</t>
        </is>
      </c>
    </row>
    <row r="20">
      <c r="B20" s="21" t="inlineStr">
        <is>
          <t>保守</t>
        </is>
      </c>
      <c r="C20" s="21" t="inlineStr">
        <is>
          <t>+2%</t>
        </is>
      </c>
      <c r="D20" s="21" t="inlineStr">
        <is>
          <t>0.065%</t>
        </is>
      </c>
      <c r="E20" s="8" t="n">
        <v>13000</v>
      </c>
      <c r="F20" s="22" t="n">
        <v>0.47</v>
      </c>
      <c r="G20" s="8" t="n">
        <v>679294</v>
      </c>
      <c r="H20" s="8" t="n">
        <v>319269</v>
      </c>
      <c r="I20" s="8" t="n">
        <v>29595</v>
      </c>
      <c r="J20" s="21" t="inlineStr">
        <is>
          <t>予測期間内なし</t>
        </is>
      </c>
      <c r="K20" s="20" t="n">
        <v>-340731</v>
      </c>
      <c r="L20" s="23" t="inlineStr">
        <is>
          <t>現状維持（施策効果が出ないケース）</t>
        </is>
      </c>
    </row>
    <row r="21">
      <c r="B21" s="6" t="inlineStr">
        <is>
          <t>標準</t>
        </is>
      </c>
      <c r="C21" s="6" t="inlineStr">
        <is>
          <t>+5%→+3%</t>
        </is>
      </c>
      <c r="D21" s="6" t="inlineStr">
        <is>
          <t>0.070%→0.095%</t>
        </is>
      </c>
      <c r="E21" s="24" t="n">
        <v>14000</v>
      </c>
      <c r="F21" s="25" t="n">
        <v>0.49</v>
      </c>
      <c r="G21" s="24" t="n">
        <v>1116879</v>
      </c>
      <c r="H21" s="24" t="n">
        <v>547270</v>
      </c>
      <c r="I21" s="24" t="n">
        <v>61286</v>
      </c>
      <c r="J21" s="6" t="inlineStr">
        <is>
          <t>2027/04</t>
        </is>
      </c>
      <c r="K21" s="26" t="n">
        <v>-112730</v>
      </c>
      <c r="L21" s="23" t="inlineStr">
        <is>
          <t>施策継続の中心推計</t>
        </is>
      </c>
    </row>
    <row r="22">
      <c r="B22" s="21" t="inlineStr">
        <is>
          <t>強気</t>
        </is>
      </c>
      <c r="C22" s="21" t="inlineStr">
        <is>
          <t>+8%→+5%</t>
        </is>
      </c>
      <c r="D22" s="21" t="inlineStr">
        <is>
          <t>0.070%→0.120%</t>
        </is>
      </c>
      <c r="E22" s="8" t="n">
        <v>14500</v>
      </c>
      <c r="F22" s="22" t="n">
        <v>0.5</v>
      </c>
      <c r="G22" s="8" t="n">
        <v>1641419</v>
      </c>
      <c r="H22" s="8" t="n">
        <v>820711</v>
      </c>
      <c r="I22" s="8" t="n">
        <v>108733</v>
      </c>
      <c r="J22" s="21" t="inlineStr">
        <is>
          <t>2026/11</t>
        </is>
      </c>
      <c r="K22" s="20" t="n">
        <v>160711</v>
      </c>
      <c r="L22" s="23" t="inlineStr">
        <is>
          <t>主要KWの上位化が進むケース</t>
        </is>
      </c>
    </row>
    <row r="24">
      <c r="B24" s="2" t="inlineStr">
        <is>
          <t>（参考）月額固定55,000円の代替として「粗利レベニューシェア50%」とした場合の12ヶ月累計手残り（クライアント側）:　保守 159,634円 / 標準 273,635円 / 強気 410,356円　※固定費ゼロのため全シナリオでプラス</t>
        </is>
      </c>
    </row>
    <row r="26">
      <c r="B26" s="23" t="inlineStr">
        <is>
          <t>※本数値は、2025/07〜2026/06の実績12ヶ月（訪問数・注文数・売上・粗利）から導出した前提に基づく概算シミュレーションです。各前提の導出根拠は「前提条件・根拠」シートをご参照ください。</t>
        </is>
      </c>
    </row>
    <row r="27">
      <c r="B27" s="23" t="inlineStr">
        <is>
          <t>※月間注文数が3〜5件と少ないため、単月の実績は期待値に対して大きくブレます（例: 2026/04 売上115,980円 ⇔ 2026/03 23,890円）。単月ではなく6〜12ヶ月累計での評価を推奨します。</t>
        </is>
      </c>
    </row>
    <row r="28">
      <c r="B28" s="23" t="inlineStr">
        <is>
          <t>※実際の売上推移や成果は、検索順位変動・季節性・外部環境等の影響を受ける可能性があります。あくまで今後の方向性や検討材料の一つとしてご参照いただくことを目的とした資料です。</t>
        </is>
      </c>
    </row>
    <row r="30">
      <c r="B30" s="23" t="inlineStr">
        <is>
          <t>グラフ用データ（編集不要）</t>
        </is>
      </c>
    </row>
    <row r="31">
      <c r="B31" s="23" t="inlineStr">
        <is>
          <t>売上（実績）</t>
        </is>
      </c>
      <c r="C31" s="27">
        <f>C10</f>
        <v/>
      </c>
      <c r="D31" s="27">
        <f>D10</f>
        <v/>
      </c>
      <c r="E31" s="27">
        <f>E10</f>
        <v/>
      </c>
      <c r="F31" s="27">
        <f>F10</f>
        <v/>
      </c>
      <c r="G31" s="27">
        <f>G10</f>
        <v/>
      </c>
      <c r="H31" s="27">
        <f>H10</f>
        <v/>
      </c>
    </row>
    <row r="32">
      <c r="B32" s="23" t="inlineStr">
        <is>
          <t>売上（予測）</t>
        </is>
      </c>
      <c r="H32" s="27">
        <f>H10</f>
        <v/>
      </c>
      <c r="I32" s="27">
        <f>I10</f>
        <v/>
      </c>
      <c r="J32" s="27">
        <f>J10</f>
        <v/>
      </c>
      <c r="K32" s="27">
        <f>K10</f>
        <v/>
      </c>
      <c r="L32" s="27">
        <f>L10</f>
        <v/>
      </c>
      <c r="M32" s="27">
        <f>M10</f>
        <v/>
      </c>
      <c r="N32" s="27">
        <f>N10</f>
        <v/>
      </c>
      <c r="O32" s="27">
        <f>O10</f>
        <v/>
      </c>
      <c r="P32" s="27">
        <f>P10</f>
        <v/>
      </c>
      <c r="Q32" s="27">
        <f>Q10</f>
        <v/>
      </c>
      <c r="R32" s="27">
        <f>R10</f>
        <v/>
      </c>
      <c r="S32" s="27">
        <f>S10</f>
        <v/>
      </c>
      <c r="T32" s="27">
        <f>T10</f>
        <v/>
      </c>
    </row>
    <row r="33">
      <c r="B33" s="23" t="inlineStr">
        <is>
          <t>粗利（実績）</t>
        </is>
      </c>
      <c r="C33" s="27">
        <f>C12</f>
        <v/>
      </c>
      <c r="D33" s="27">
        <f>D12</f>
        <v/>
      </c>
      <c r="E33" s="27">
        <f>E12</f>
        <v/>
      </c>
      <c r="F33" s="27">
        <f>F12</f>
        <v/>
      </c>
      <c r="G33" s="27">
        <f>G12</f>
        <v/>
      </c>
      <c r="H33" s="27">
        <f>H12</f>
        <v/>
      </c>
    </row>
    <row r="34">
      <c r="B34" s="23" t="inlineStr">
        <is>
          <t>粗利（予測）</t>
        </is>
      </c>
      <c r="H34" s="27">
        <f>H12</f>
        <v/>
      </c>
      <c r="I34" s="27">
        <f>I12</f>
        <v/>
      </c>
      <c r="J34" s="27">
        <f>J12</f>
        <v/>
      </c>
      <c r="K34" s="27">
        <f>K12</f>
        <v/>
      </c>
      <c r="L34" s="27">
        <f>L12</f>
        <v/>
      </c>
      <c r="M34" s="27">
        <f>M12</f>
        <v/>
      </c>
      <c r="N34" s="27">
        <f>N12</f>
        <v/>
      </c>
      <c r="O34" s="27">
        <f>O12</f>
        <v/>
      </c>
      <c r="P34" s="27">
        <f>P12</f>
        <v/>
      </c>
      <c r="Q34" s="27">
        <f>Q12</f>
        <v/>
      </c>
      <c r="R34" s="27">
        <f>R12</f>
        <v/>
      </c>
      <c r="S34" s="27">
        <f>S12</f>
        <v/>
      </c>
      <c r="T34" s="27">
        <f>T12</f>
        <v/>
      </c>
    </row>
  </sheetData>
  <mergeCells count="6">
    <mergeCell ref="B28:T28"/>
    <mergeCell ref="C2:T2"/>
    <mergeCell ref="B26:T26"/>
    <mergeCell ref="B27:T27"/>
    <mergeCell ref="C3:H3"/>
    <mergeCell ref="I3:T3"/>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1:D25"/>
  <sheetViews>
    <sheetView showGridLines="0" workbookViewId="0">
      <selection activeCell="A1" sqref="A1"/>
    </sheetView>
  </sheetViews>
  <sheetFormatPr baseColWidth="8" defaultRowHeight="15"/>
  <cols>
    <col width="2" customWidth="1" min="1" max="1"/>
    <col width="22" customWidth="1" min="2" max="2"/>
    <col width="26" customWidth="1" min="3" max="3"/>
    <col width="100" customWidth="1" min="4" max="4"/>
  </cols>
  <sheetData>
    <row r="1">
      <c r="B1" s="1" t="inlineStr">
        <is>
          <t>前提条件と導出根拠</t>
        </is>
      </c>
    </row>
    <row r="2">
      <c r="B2" s="2" t="inlineStr">
        <is>
          <t>すべての前提は 2025/07〜2026/06 の実績12ヶ月（Fulmo月次レポート・KW順位データ）から導出。</t>
        </is>
      </c>
    </row>
    <row r="4">
      <c r="B4" s="28" t="inlineStr">
        <is>
          <t>項目</t>
        </is>
      </c>
      <c r="C4" s="28" t="inlineStr">
        <is>
          <t>採用値（標準）</t>
        </is>
      </c>
      <c r="D4" s="28" t="inlineStr">
        <is>
          <t>導出根拠</t>
        </is>
      </c>
    </row>
    <row r="5" ht="42" customHeight="1">
      <c r="B5" s="16" t="inlineStr">
        <is>
          <t>起点訪問数</t>
        </is>
      </c>
      <c r="C5" s="7" t="inlineStr">
        <is>
          <t>5,877/月</t>
        </is>
      </c>
      <c r="D5" s="7" t="inlineStr">
        <is>
          <t>直近3ヶ月（2026/04〜06: 6,053 / 5,780 / 5,797）の平均。単月値でなく平均を起点にすることで月次ノイズを除去。</t>
        </is>
      </c>
    </row>
    <row r="6" ht="42" customHeight="1">
      <c r="B6" s="16" t="inlineStr">
        <is>
          <t>訪問数成長率</t>
        </is>
      </c>
      <c r="C6" s="7" t="inlineStr">
        <is>
          <t>2026年下期 +5%/月 → 2027年上期 +3%/月</t>
        </is>
      </c>
      <c r="D6" s="7" t="inlineStr">
        <is>
          <t>直近4ヶ月の訪問数は横ばい（5,100〜7,400）。一方でKW順位データでは「アーム モニター」（検索Vol 74,000）が49位、「pc アーム モニター」（Vol 1,000）22位など上位化余地の大きいKWが多数。月20記事+20商品の施策継続を前提に、立ち上げ期（月+68%等）ではなく成熟期の現実的な伸びを設定。</t>
        </is>
      </c>
    </row>
    <row r="7" ht="42" customHeight="1">
      <c r="B7" s="16" t="inlineStr">
        <is>
          <t>CVR</t>
        </is>
      </c>
      <c r="C7" s="7" t="inlineStr">
        <is>
          <t>0.070% → 0.095%（12ヶ月かけて線形改善）</t>
        </is>
      </c>
      <c r="D7" s="7" t="inlineStr">
        <is>
          <t>実績: 直近6ヶ月平均 0.0651% / 直近3ヶ月平均 0.0737% / 月次最高 0.0863%（2026/06）。開始値0.070%は直近3〜6ヶ月平均の中間。到達値0.095%は月次最高値+10%で、CV系LP流入強化・FAQ・回遊改善・レビュー機能の継続を前提とした改善幅。旧シミュレーションの0.15%は実績最高値の1.7倍で過大と判断し修正。</t>
        </is>
      </c>
    </row>
    <row r="8" ht="42" customHeight="1">
      <c r="B8" s="16" t="inlineStr">
        <is>
          <t>平均購入単価</t>
        </is>
      </c>
      <c r="C8" s="7" t="inlineStr">
        <is>
          <t>14,000円</t>
        </is>
      </c>
      <c r="D8" s="7" t="inlineStr">
        <is>
          <t>全期間の注文27件・売上合計381,810円 → 加重平均 14,141円。直近6ヶ月では14,311円。旧シミュレーションの13,000円は実績よりやや過小。</t>
        </is>
      </c>
    </row>
    <row r="9" ht="42" customHeight="1">
      <c r="B9" s="16" t="inlineStr">
        <is>
          <t>粗利率</t>
        </is>
      </c>
      <c r="C9" s="7" t="inlineStr">
        <is>
          <t>49%</t>
        </is>
      </c>
      <c r="D9" s="7" t="inlineStr">
        <is>
          <t>全期間の粗利合計÷売上合計 = 49.0%（月次では45.6%〜52.8%で推移）。旧シミュレーションの「売上÷2（50%）」を実績値に置換。</t>
        </is>
      </c>
    </row>
    <row r="10" ht="42" customHeight="1">
      <c r="B10" s="16" t="inlineStr">
        <is>
          <t>月額費用</t>
        </is>
      </c>
      <c r="C10" s="7" t="inlineStr">
        <is>
          <t>55,000円</t>
        </is>
      </c>
      <c r="D10" s="7" t="inlineStr">
        <is>
          <t>旧シミュレーションの設定値を踏襲（ご提案プランは月額88,000円+レベシェア5%、ご希望は粗利レベシェア50%。シナリオ比較の参考行にレベシェア50%案の試算を記載）。</t>
        </is>
      </c>
    </row>
    <row r="12">
      <c r="B12" s="1" t="inlineStr">
        <is>
          <t>旧シミュレーションからの主な修正点</t>
        </is>
      </c>
    </row>
    <row r="13">
      <c r="B13" s="29" t="inlineStr">
        <is>
          <t>① 2026/07の売上が前月実績の固定値（72,840円）のまま数式と不整合だった点を修正し、予測期間全体をモデル数式（訪問数×CVR×単価）に統一。</t>
        </is>
      </c>
    </row>
    <row r="14">
      <c r="B14" s="29" t="inlineStr">
        <is>
          <t>② CVRの到達値を0.15%→0.095%に修正（実績月次最高0.086%に対し1.7倍は根拠不足のため。強気シナリオでも0.12%）。</t>
        </is>
      </c>
    </row>
    <row r="15">
      <c r="B15" s="29" t="inlineStr">
        <is>
          <t>③ 平均単価を13,000円→14,000円に修正（実績加重平均14,141円）。</t>
        </is>
      </c>
    </row>
    <row r="16">
      <c r="B16" s="29" t="inlineStr">
        <is>
          <t>④ 粗利を「売上÷2」→「売上×49%（実績粗利率）」に修正。</t>
        </is>
      </c>
    </row>
    <row r="17">
      <c r="B17" s="29" t="inlineStr">
        <is>
          <t>⑤ 単一シナリオ→3シナリオ（保守/標準/強気）とし、予測の不確実性を明示。</t>
        </is>
      </c>
    </row>
    <row r="18">
      <c r="B18" s="29" t="inlineStr">
        <is>
          <t>⑥ 起点訪問数を単月値でなく直近3ヶ月平均（5,877）に変更し、月次ノイズの影響を除去。</t>
        </is>
      </c>
    </row>
    <row r="21">
      <c r="B21" s="1" t="inlineStr">
        <is>
          <t>精度に関する注意（重要）</t>
        </is>
      </c>
    </row>
    <row r="22">
      <c r="B22" s="29" t="inlineStr">
        <is>
          <t>・月間注文数が0〜5件と少数のため、単月実績のCVRは0.041%〜0.086%の範囲で大きく変動しています。単月の予実差は±50%程度発生し得ます。</t>
        </is>
      </c>
    </row>
    <row r="23">
      <c r="B23" s="29" t="inlineStr">
        <is>
          <t>・したがって本シミュレーションは「単月の的中」ではなく「6〜12ヶ月累計の中心推計」として設計しています。四半期ごとに実績でパラメータ（CVR・単価・成長率）を更新することを推奨します。</t>
        </is>
      </c>
    </row>
    <row r="24">
      <c r="B24" s="29" t="inlineStr">
        <is>
          <t>・季節性は実績1年分では分離不能のため未考慮です（2026/04の売上急増が季節要因か一時要因かは現時点で判定不可）。</t>
        </is>
      </c>
    </row>
    <row r="25">
      <c r="B25" s="29" t="inlineStr">
        <is>
          <t>・検索順位の変動（アルゴリズム更新等）による下振れリスクは保守シナリオでカバーしています。</t>
        </is>
      </c>
    </row>
  </sheetData>
  <mergeCells count="10">
    <mergeCell ref="B14:D14"/>
    <mergeCell ref="B23:D23"/>
    <mergeCell ref="B22:D22"/>
    <mergeCell ref="B17:D17"/>
    <mergeCell ref="B18:D18"/>
    <mergeCell ref="B13:D13"/>
    <mergeCell ref="B15:D15"/>
    <mergeCell ref="B25:D25"/>
    <mergeCell ref="B24:D24"/>
    <mergeCell ref="B16:D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I18"/>
  <sheetViews>
    <sheetView showGridLines="0" workbookViewId="0">
      <selection activeCell="A1" sqref="A1"/>
    </sheetView>
  </sheetViews>
  <sheetFormatPr baseColWidth="8" defaultRowHeight="15"/>
  <cols>
    <col width="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B1" s="1" t="inlineStr">
        <is>
          <t>実績データ（2025/07〜2026/06）</t>
        </is>
      </c>
    </row>
    <row r="3">
      <c r="B3" s="3" t="inlineStr">
        <is>
          <t>年月</t>
        </is>
      </c>
      <c r="C3" s="3" t="inlineStr">
        <is>
          <t>サイト訪問数</t>
        </is>
      </c>
      <c r="D3" s="3" t="inlineStr">
        <is>
          <t>注文数</t>
        </is>
      </c>
      <c r="E3" s="3" t="inlineStr">
        <is>
          <t>売上</t>
        </is>
      </c>
      <c r="F3" s="3" t="inlineStr">
        <is>
          <t>粗利</t>
        </is>
      </c>
      <c r="G3" s="3" t="inlineStr">
        <is>
          <t>CVR</t>
        </is>
      </c>
      <c r="H3" s="3" t="inlineStr">
        <is>
          <t>平均購入単価</t>
        </is>
      </c>
      <c r="I3" s="3" t="inlineStr">
        <is>
          <t>粗利率</t>
        </is>
      </c>
    </row>
    <row r="4">
      <c r="B4" s="21" t="inlineStr">
        <is>
          <t>2025/07</t>
        </is>
      </c>
      <c r="C4" s="8" t="n">
        <v>112</v>
      </c>
      <c r="D4" s="13" t="n">
        <v>0</v>
      </c>
      <c r="E4" s="8" t="n">
        <v>0</v>
      </c>
      <c r="F4" s="8" t="n">
        <v>0</v>
      </c>
      <c r="G4" s="11">
        <f>IFERROR(D4/C4,"")</f>
        <v/>
      </c>
      <c r="H4" s="8">
        <f>IFERROR(ROUND(E4/D4,0),"")</f>
        <v/>
      </c>
      <c r="I4" s="18">
        <f>IFERROR(F4/E4,"")</f>
        <v/>
      </c>
    </row>
    <row r="5">
      <c r="B5" s="21" t="inlineStr">
        <is>
          <t>2025/08</t>
        </is>
      </c>
      <c r="C5" s="8" t="n">
        <v>197</v>
      </c>
      <c r="D5" s="13" t="n">
        <v>0</v>
      </c>
      <c r="E5" s="8" t="n">
        <v>0</v>
      </c>
      <c r="F5" s="8" t="n">
        <v>0</v>
      </c>
      <c r="G5" s="11">
        <f>IFERROR(D5/C5,"")</f>
        <v/>
      </c>
      <c r="H5" s="8">
        <f>IFERROR(ROUND(E5/D5,0),"")</f>
        <v/>
      </c>
      <c r="I5" s="18">
        <f>IFERROR(F5/E5,"")</f>
        <v/>
      </c>
    </row>
    <row r="6">
      <c r="B6" s="21" t="inlineStr">
        <is>
          <t>2025/09</t>
        </is>
      </c>
      <c r="C6" s="8" t="n">
        <v>597</v>
      </c>
      <c r="D6" s="13" t="n">
        <v>3</v>
      </c>
      <c r="E6" s="8" t="n">
        <v>42780</v>
      </c>
      <c r="F6" s="8" t="n">
        <v>20390</v>
      </c>
      <c r="G6" s="11">
        <f>IFERROR(D6/C6,"")</f>
        <v/>
      </c>
      <c r="H6" s="8">
        <f>IFERROR(ROUND(E6/D6,0),"")</f>
        <v/>
      </c>
      <c r="I6" s="18">
        <f>IFERROR(F6/E6,"")</f>
        <v/>
      </c>
    </row>
    <row r="7">
      <c r="B7" s="21" t="inlineStr">
        <is>
          <t>2025/10</t>
        </is>
      </c>
      <c r="C7" s="8" t="n">
        <v>1153</v>
      </c>
      <c r="D7" s="13" t="n">
        <v>1</v>
      </c>
      <c r="E7" s="8" t="n">
        <v>9880</v>
      </c>
      <c r="F7" s="8" t="n">
        <v>3940</v>
      </c>
      <c r="G7" s="11">
        <f>IFERROR(D7/C7,"")</f>
        <v/>
      </c>
      <c r="H7" s="8">
        <f>IFERROR(ROUND(E7/D7,0),"")</f>
        <v/>
      </c>
      <c r="I7" s="18">
        <f>IFERROR(F7/E7,"")</f>
        <v/>
      </c>
    </row>
    <row r="8">
      <c r="B8" s="21" t="inlineStr">
        <is>
          <t>2025/11</t>
        </is>
      </c>
      <c r="C8" s="8" t="n">
        <v>2015</v>
      </c>
      <c r="D8" s="13" t="n">
        <v>0</v>
      </c>
      <c r="E8" s="8" t="n">
        <v>0</v>
      </c>
      <c r="F8" s="8" t="n">
        <v>0</v>
      </c>
      <c r="G8" s="11">
        <f>IFERROR(D8/C8,"")</f>
        <v/>
      </c>
      <c r="H8" s="8">
        <f>IFERROR(ROUND(E8/D8,0),"")</f>
        <v/>
      </c>
      <c r="I8" s="18">
        <f>IFERROR(F8/E8,"")</f>
        <v/>
      </c>
    </row>
    <row r="9">
      <c r="B9" s="21" t="inlineStr">
        <is>
          <t>2025/12</t>
        </is>
      </c>
      <c r="C9" s="8" t="n">
        <v>3111</v>
      </c>
      <c r="D9" s="13" t="n">
        <v>0</v>
      </c>
      <c r="E9" s="8" t="n">
        <v>0</v>
      </c>
      <c r="F9" s="8" t="n">
        <v>0</v>
      </c>
      <c r="G9" s="11">
        <f>IFERROR(D9/C9,"")</f>
        <v/>
      </c>
      <c r="H9" s="8">
        <f>IFERROR(ROUND(E9/D9,0),"")</f>
        <v/>
      </c>
      <c r="I9" s="18">
        <f>IFERROR(F9/E9,"")</f>
        <v/>
      </c>
    </row>
    <row r="10">
      <c r="B10" s="21" t="inlineStr">
        <is>
          <t>2026/01</t>
        </is>
      </c>
      <c r="C10" s="8" t="n">
        <v>5241</v>
      </c>
      <c r="D10" s="13" t="n">
        <v>4</v>
      </c>
      <c r="E10" s="8" t="n">
        <v>54220</v>
      </c>
      <c r="F10" s="8" t="n">
        <v>28630</v>
      </c>
      <c r="G10" s="11">
        <f>IFERROR(D10/C10,"")</f>
        <v/>
      </c>
      <c r="H10" s="8">
        <f>IFERROR(ROUND(E10/D10,0),"")</f>
        <v/>
      </c>
      <c r="I10" s="18">
        <f>IFERROR(F10/E10,"")</f>
        <v/>
      </c>
    </row>
    <row r="11">
      <c r="B11" s="21" t="inlineStr">
        <is>
          <t>2026/02</t>
        </is>
      </c>
      <c r="C11" s="8" t="n">
        <v>5108</v>
      </c>
      <c r="D11" s="13" t="n">
        <v>3</v>
      </c>
      <c r="E11" s="8" t="n">
        <v>26160</v>
      </c>
      <c r="F11" s="8" t="n">
        <v>13080</v>
      </c>
      <c r="G11" s="11">
        <f>IFERROR(D11/C11,"")</f>
        <v/>
      </c>
      <c r="H11" s="8">
        <f>IFERROR(ROUND(E11/D11,0),"")</f>
        <v/>
      </c>
      <c r="I11" s="18">
        <f>IFERROR(F11/E11,"")</f>
        <v/>
      </c>
    </row>
    <row r="12">
      <c r="B12" s="21" t="inlineStr">
        <is>
          <t>2026/03</t>
        </is>
      </c>
      <c r="C12" s="8" t="n">
        <v>7363</v>
      </c>
      <c r="D12" s="13" t="n">
        <v>3</v>
      </c>
      <c r="E12" s="8" t="n">
        <v>23890</v>
      </c>
      <c r="F12" s="8" t="n">
        <v>9223</v>
      </c>
      <c r="G12" s="11">
        <f>IFERROR(D12/C12,"")</f>
        <v/>
      </c>
      <c r="H12" s="8">
        <f>IFERROR(ROUND(E12/D12,0),"")</f>
        <v/>
      </c>
      <c r="I12" s="18">
        <f>IFERROR(F12/E12,"")</f>
        <v/>
      </c>
    </row>
    <row r="13">
      <c r="B13" s="21" t="inlineStr">
        <is>
          <t>2026/04</t>
        </is>
      </c>
      <c r="C13" s="8" t="n">
        <v>6053</v>
      </c>
      <c r="D13" s="13" t="n">
        <v>5</v>
      </c>
      <c r="E13" s="8" t="n">
        <v>115980</v>
      </c>
      <c r="F13" s="8" t="n">
        <v>61116</v>
      </c>
      <c r="G13" s="11">
        <f>IFERROR(D13/C13,"")</f>
        <v/>
      </c>
      <c r="H13" s="8">
        <f>IFERROR(ROUND(E13/D13,0),"")</f>
        <v/>
      </c>
      <c r="I13" s="18">
        <f>IFERROR(F13/E13,"")</f>
        <v/>
      </c>
    </row>
    <row r="14">
      <c r="B14" s="21" t="inlineStr">
        <is>
          <t>2026/05</t>
        </is>
      </c>
      <c r="C14" s="8" t="n">
        <v>5780</v>
      </c>
      <c r="D14" s="13" t="n">
        <v>3</v>
      </c>
      <c r="E14" s="8" t="n">
        <v>36060</v>
      </c>
      <c r="F14" s="8" t="n">
        <v>17530</v>
      </c>
      <c r="G14" s="11">
        <f>IFERROR(D14/C14,"")</f>
        <v/>
      </c>
      <c r="H14" s="8">
        <f>IFERROR(ROUND(E14/D14,0),"")</f>
        <v/>
      </c>
      <c r="I14" s="18">
        <f>IFERROR(F14/E14,"")</f>
        <v/>
      </c>
    </row>
    <row r="15">
      <c r="B15" s="21" t="inlineStr">
        <is>
          <t>2026/06</t>
        </is>
      </c>
      <c r="C15" s="8" t="n">
        <v>5797</v>
      </c>
      <c r="D15" s="13" t="n">
        <v>5</v>
      </c>
      <c r="E15" s="8" t="n">
        <v>72840</v>
      </c>
      <c r="F15" s="8" t="n">
        <v>33200</v>
      </c>
      <c r="G15" s="11">
        <f>IFERROR(D15/C15,"")</f>
        <v/>
      </c>
      <c r="H15" s="8">
        <f>IFERROR(ROUND(E15/D15,0),"")</f>
        <v/>
      </c>
      <c r="I15" s="18">
        <f>IFERROR(F15/E15,"")</f>
        <v/>
      </c>
    </row>
    <row r="16">
      <c r="B16" s="30" t="inlineStr">
        <is>
          <t>合計/平均</t>
        </is>
      </c>
      <c r="C16" s="17">
        <f>SUM(C4:C15)</f>
        <v/>
      </c>
      <c r="D16" s="31">
        <f>SUM(D4:D15)</f>
        <v/>
      </c>
      <c r="E16" s="17">
        <f>SUM(E4:E15)</f>
        <v/>
      </c>
      <c r="F16" s="17">
        <f>SUM(F4:F15)</f>
        <v/>
      </c>
      <c r="G16" s="32">
        <f>D16/C16</f>
        <v/>
      </c>
      <c r="H16" s="17">
        <f>ROUND(E16/D16,0)</f>
        <v/>
      </c>
      <c r="I16" s="33">
        <f>F16/E16</f>
        <v/>
      </c>
    </row>
    <row r="18">
      <c r="B18" s="23" t="inlineStr">
        <is>
          <t>出典: Fulmo月次レポート（元ファイル）各月シートの基本指標。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2026-07-02T08:08:59Z</dcterms:created>
  <dcterms:modified xsi:type="dcterms:W3CDTF">2026-07-02T08:08:59Z</dcterms:modified>
</cp:coreProperties>
</file>